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-off" sheetId="3" state="visible" r:id="rId3"/>
  </sheets>
  <definedNames>
    <definedName name="_xlnm._FilterDatabase" localSheetId="0" hidden="1">'Test Cases'!$A$1:$J$1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964"/>
      <sz val="14"/>
    </font>
    <font>
      <b val="1"/>
    </font>
    <font>
      <b val="1"/>
      <color rgb="00006A4E"/>
      <sz val="12"/>
    </font>
  </fonts>
  <fills count="5">
    <fill>
      <patternFill/>
    </fill>
    <fill>
      <patternFill patternType="gray125"/>
    </fill>
    <fill>
      <patternFill patternType="solid">
        <fgColor rgb="001F3964"/>
      </patternFill>
    </fill>
    <fill>
      <patternFill patternType="solid">
        <fgColor rgb="00F5F8FC"/>
      </patternFill>
    </fill>
    <fill>
      <patternFill patternType="solid">
        <fgColor rgb="00006A4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0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6" customWidth="1" min="3" max="3"/>
    <col width="42" customWidth="1" min="4" max="4"/>
    <col width="42" customWidth="1" min="5" max="5"/>
    <col width="10" customWidth="1" min="6" max="6"/>
    <col width="12" customWidth="1" min="7" max="7"/>
    <col width="16" customWidth="1" min="8" max="8"/>
    <col width="13" customWidth="1" min="9" max="9"/>
    <col width="40" customWidth="1" min="10" max="10"/>
  </cols>
  <sheetData>
    <row r="1" ht="28" customHeight="1">
      <c r="A1" s="1" t="inlineStr">
        <is>
          <t>ID</t>
        </is>
      </c>
      <c r="B1" s="1" t="inlineStr">
        <is>
          <t>Modul</t>
        </is>
      </c>
      <c r="C1" s="1" t="inlineStr">
        <is>
          <t>Skenario</t>
        </is>
      </c>
      <c r="D1" s="1" t="inlineStr">
        <is>
          <t>Langkah Pengujian</t>
        </is>
      </c>
      <c r="E1" s="1" t="inlineStr">
        <is>
          <t>Hasil yang Diharapkan</t>
        </is>
      </c>
      <c r="F1" s="1" t="inlineStr">
        <is>
          <t>Prioritas</t>
        </is>
      </c>
      <c r="G1" s="1" t="inlineStr">
        <is>
          <t>Status</t>
        </is>
      </c>
      <c r="H1" s="1" t="inlineStr">
        <is>
          <t>Penguji</t>
        </is>
      </c>
      <c r="I1" s="1" t="inlineStr">
        <is>
          <t>Tanggal Uji</t>
        </is>
      </c>
      <c r="J1" s="1" t="inlineStr">
        <is>
          <t>Hasil Aktual / Catatan</t>
        </is>
      </c>
    </row>
    <row r="2">
      <c r="A2" s="2" t="inlineStr">
        <is>
          <t>FR-01</t>
        </is>
      </c>
      <c r="B2" s="3" t="inlineStr">
        <is>
          <t>Financial Report</t>
        </is>
      </c>
      <c r="C2" s="4" t="inlineStr">
        <is>
          <t>Cetak Owners Statement dasar</t>
        </is>
      </c>
      <c r="D2" s="4" t="inlineStr">
        <is>
          <t>Pastikan ada invoice/bill posted ber-link properti. Jalankan wizard Owners Statement untuk periode berjalan.</t>
        </is>
      </c>
      <c r="E2" s="4" t="inlineStr">
        <is>
          <t>PDF tampil dengan 9 section; angka Income/Expense terisi dari GL.</t>
        </is>
      </c>
      <c r="F2" s="2" t="inlineStr">
        <is>
          <t>High</t>
        </is>
      </c>
      <c r="G2" s="2" t="inlineStr">
        <is>
          <t>Not Run</t>
        </is>
      </c>
      <c r="H2" s="3" t="inlineStr"/>
      <c r="I2" s="2" t="inlineStr"/>
      <c r="J2" s="4" t="inlineStr"/>
    </row>
    <row r="3">
      <c r="A3" s="5" t="inlineStr">
        <is>
          <t>FR-02</t>
        </is>
      </c>
      <c r="B3" s="6" t="inlineStr">
        <is>
          <t>Financial Report</t>
        </is>
      </c>
      <c r="C3" s="7" t="inlineStr">
        <is>
          <t>Actual vs Budget</t>
        </is>
      </c>
      <c r="D3" s="7" t="inlineStr">
        <is>
          <t>Buat Property Budget per akun untuk bulan uji. Cetak ulang Owners Statement.</t>
        </is>
      </c>
      <c r="E3" s="7" t="inlineStr">
        <is>
          <t>Kolom Budget &amp; Variance &amp; %Var pada I&amp;E dan Performance Summary terisi.</t>
        </is>
      </c>
      <c r="F3" s="5" t="inlineStr">
        <is>
          <t>High</t>
        </is>
      </c>
      <c r="G3" s="5" t="inlineStr">
        <is>
          <t>Not Run</t>
        </is>
      </c>
      <c r="H3" s="6" t="inlineStr"/>
      <c r="I3" s="5" t="inlineStr"/>
      <c r="J3" s="7" t="inlineStr"/>
    </row>
    <row r="4">
      <c r="A4" s="2" t="inlineStr">
        <is>
          <t>FR-03</t>
        </is>
      </c>
      <c r="B4" s="3" t="inlineStr">
        <is>
          <t>Financial Report</t>
        </is>
      </c>
      <c r="C4" s="4" t="inlineStr">
        <is>
          <t>Multi-owner &amp; remittance</t>
        </is>
      </c>
      <c r="D4" s="4" t="inlineStr">
        <is>
          <t>Isi 2 owner (60/40). Owner Remittance → Compute from Owners → Post.</t>
        </is>
      </c>
      <c r="E4" s="4" t="inlineStr">
        <is>
          <t>Alokasi 60/40; jurnal Dr Remittance/Cr Trust terbuat; Less Remittances muncul.</t>
        </is>
      </c>
      <c r="F4" s="2" t="inlineStr">
        <is>
          <t>High</t>
        </is>
      </c>
      <c r="G4" s="2" t="inlineStr">
        <is>
          <t>Not Run</t>
        </is>
      </c>
      <c r="H4" s="3" t="inlineStr"/>
      <c r="I4" s="2" t="inlineStr"/>
      <c r="J4" s="4" t="inlineStr"/>
    </row>
    <row r="5">
      <c r="A5" s="5" t="inlineStr">
        <is>
          <t>FR-04</t>
        </is>
      </c>
      <c r="B5" s="6" t="inlineStr">
        <is>
          <t>Financial Report</t>
        </is>
      </c>
      <c r="C5" s="7" t="inlineStr">
        <is>
          <t>Trust roll-forward</t>
        </is>
      </c>
      <c r="D5" s="7" t="inlineStr">
        <is>
          <t>Set Trust Bank Account; ada penerimaan &amp; pembayaran ter-rekonsiliasi.</t>
        </is>
      </c>
      <c r="E5" s="7" t="inlineStr">
        <is>
          <t>Opening + Net Cash − Remittances = Closing Trust Balance konsisten.</t>
        </is>
      </c>
      <c r="F5" s="5" t="inlineStr">
        <is>
          <t>Medium</t>
        </is>
      </c>
      <c r="G5" s="5" t="inlineStr">
        <is>
          <t>Not Run</t>
        </is>
      </c>
      <c r="H5" s="6" t="inlineStr"/>
      <c r="I5" s="5" t="inlineStr"/>
      <c r="J5" s="7" t="inlineStr"/>
    </row>
    <row r="6">
      <c r="A6" s="2" t="inlineStr">
        <is>
          <t>FR-05</t>
        </is>
      </c>
      <c r="B6" s="3" t="inlineStr">
        <is>
          <t>Financial Report</t>
        </is>
      </c>
      <c r="C6" s="4" t="inlineStr">
        <is>
          <t>Security Deposit liability</t>
        </is>
      </c>
      <c r="D6" s="4" t="inlineStr">
        <is>
          <t>Buat Security Deposit → Mark as Held; tambah baris refund; Post Deductions/Refunds.</t>
        </is>
      </c>
      <c r="E6" s="4" t="inlineStr">
        <is>
          <t>Balance berkurang; kolom Sec Dep Bal di Tenant Balances terisi.</t>
        </is>
      </c>
      <c r="F6" s="2" t="inlineStr">
        <is>
          <t>Medium</t>
        </is>
      </c>
      <c r="G6" s="2" t="inlineStr">
        <is>
          <t>Not Run</t>
        </is>
      </c>
      <c r="H6" s="3" t="inlineStr"/>
      <c r="I6" s="2" t="inlineStr"/>
      <c r="J6" s="4" t="inlineStr"/>
    </row>
    <row r="7">
      <c r="A7" s="5" t="inlineStr">
        <is>
          <t>FR-06</t>
        </is>
      </c>
      <c r="B7" s="6" t="inlineStr">
        <is>
          <t>Financial Report</t>
        </is>
      </c>
      <c r="C7" s="7" t="inlineStr">
        <is>
          <t>Integrasi Analytic</t>
        </is>
      </c>
      <c r="D7" s="7" t="inlineStr">
        <is>
          <t>Set analytic account properti. Posting invoice ber-link properti. Buka 'Analytic Items'.</t>
        </is>
      </c>
      <c r="E7" s="7" t="inlineStr">
        <is>
          <t>Baris income/expense punya analytic_distribution; muncul di Analytic Items.</t>
        </is>
      </c>
      <c r="F7" s="5" t="inlineStr">
        <is>
          <t>Medium</t>
        </is>
      </c>
      <c r="G7" s="5" t="inlineStr">
        <is>
          <t>Not Run</t>
        </is>
      </c>
      <c r="H7" s="6" t="inlineStr"/>
      <c r="I7" s="5" t="inlineStr"/>
      <c r="J7" s="7" t="inlineStr"/>
    </row>
    <row r="8">
      <c r="A8" s="2" t="inlineStr">
        <is>
          <t>FR-07</t>
        </is>
      </c>
      <c r="B8" s="3" t="inlineStr">
        <is>
          <t>Financial Report</t>
        </is>
      </c>
      <c r="C8" s="4" t="inlineStr">
        <is>
          <t>Aged Arrears</t>
        </is>
      </c>
      <c r="D8" s="4" t="inlineStr">
        <is>
          <t>Biarkan beberapa invoice jatuh tempo umur berbeda. Cetak laporan.</t>
        </is>
      </c>
      <c r="E8" s="4" t="inlineStr">
        <is>
          <t>Tunggakan terbagi ke bucket Current/1/2/3/4+ bulan dengan total benar.</t>
        </is>
      </c>
      <c r="F8" s="2" t="inlineStr">
        <is>
          <t>Medium</t>
        </is>
      </c>
      <c r="G8" s="2" t="inlineStr">
        <is>
          <t>Not Run</t>
        </is>
      </c>
      <c r="H8" s="3" t="inlineStr"/>
      <c r="I8" s="2" t="inlineStr"/>
      <c r="J8" s="4" t="inlineStr"/>
    </row>
    <row r="9">
      <c r="A9" s="5" t="inlineStr">
        <is>
          <t>GT-01</t>
        </is>
      </c>
      <c r="B9" s="6" t="inlineStr">
        <is>
          <t>GTO &amp; Meter</t>
        </is>
      </c>
      <c r="C9" s="7" t="inlineStr">
        <is>
          <t>GTO Higher-of</t>
        </is>
      </c>
      <c r="D9" s="7" t="inlineStr">
        <is>
          <t>Kontrak GTO higher_of, %=5, base=10jt, turnover=300jt. Compute.</t>
        </is>
      </c>
      <c r="E9" s="7" t="inlineStr">
        <is>
          <t>percentage_rent=15jt; billable=5jt; invoice 5jt.</t>
        </is>
      </c>
      <c r="F9" s="5" t="inlineStr">
        <is>
          <t>High</t>
        </is>
      </c>
      <c r="G9" s="5" t="inlineStr">
        <is>
          <t>Not Run</t>
        </is>
      </c>
      <c r="H9" s="6" t="inlineStr"/>
      <c r="I9" s="5" t="inlineStr"/>
      <c r="J9" s="7" t="inlineStr"/>
    </row>
    <row r="10">
      <c r="A10" s="2" t="inlineStr">
        <is>
          <t>GT-02</t>
        </is>
      </c>
      <c r="B10" s="3" t="inlineStr">
        <is>
          <t>GTO &amp; Meter</t>
        </is>
      </c>
      <c r="C10" s="4" t="inlineStr">
        <is>
          <t>GTO Base+Overage</t>
        </is>
      </c>
      <c r="D10" s="4" t="inlineStr">
        <is>
          <t>base_plus, %=5, breakpoint=200jt, turnover=300jt.</t>
        </is>
      </c>
      <c r="E10" s="4" t="inlineStr">
        <is>
          <t>billable=(300−200)jt×5%=5jt.</t>
        </is>
      </c>
      <c r="F10" s="2" t="inlineStr">
        <is>
          <t>Medium</t>
        </is>
      </c>
      <c r="G10" s="2" t="inlineStr">
        <is>
          <t>Not Run</t>
        </is>
      </c>
      <c r="H10" s="3" t="inlineStr"/>
      <c r="I10" s="2" t="inlineStr"/>
      <c r="J10" s="4" t="inlineStr"/>
    </row>
    <row r="11">
      <c r="A11" s="5" t="inlineStr">
        <is>
          <t>GT-03</t>
        </is>
      </c>
      <c r="B11" s="6" t="inlineStr">
        <is>
          <t>GTO &amp; Meter</t>
        </is>
      </c>
      <c r="C11" s="7" t="inlineStr">
        <is>
          <t>GTO Pure %</t>
        </is>
      </c>
      <c r="D11" s="7" t="inlineStr">
        <is>
          <t>pure, %=8, turnover=100jt.</t>
        </is>
      </c>
      <c r="E11" s="7" t="inlineStr">
        <is>
          <t>billable=8jt.</t>
        </is>
      </c>
      <c r="F11" s="5" t="inlineStr">
        <is>
          <t>Low</t>
        </is>
      </c>
      <c r="G11" s="5" t="inlineStr">
        <is>
          <t>Not Run</t>
        </is>
      </c>
      <c r="H11" s="6" t="inlineStr"/>
      <c r="I11" s="5" t="inlineStr"/>
      <c r="J11" s="7" t="inlineStr"/>
    </row>
    <row r="12">
      <c r="A12" s="2" t="inlineStr">
        <is>
          <t>MT-01</t>
        </is>
      </c>
      <c r="B12" s="3" t="inlineStr">
        <is>
          <t>GTO &amp; Meter</t>
        </is>
      </c>
      <c r="C12" s="4" t="inlineStr">
        <is>
          <t>Meter reading &amp; recharge</t>
        </is>
      </c>
      <c r="D12" s="4" t="inlineStr">
        <is>
          <t>Tarif=1.500/kWh, previous=100, current=350. Create Recharge Invoice.</t>
        </is>
      </c>
      <c r="E12" s="4" t="inlineStr">
        <is>
          <t>consumption=250; amount=375.000; invoice qty 250×1.500.</t>
        </is>
      </c>
      <c r="F12" s="2" t="inlineStr">
        <is>
          <t>High</t>
        </is>
      </c>
      <c r="G12" s="2" t="inlineStr">
        <is>
          <t>Not Run</t>
        </is>
      </c>
      <c r="H12" s="3" t="inlineStr"/>
      <c r="I12" s="2" t="inlineStr"/>
      <c r="J12" s="4" t="inlineStr"/>
    </row>
    <row r="13">
      <c r="A13" s="5" t="inlineStr">
        <is>
          <t>MT-02</t>
        </is>
      </c>
      <c r="B13" s="6" t="inlineStr">
        <is>
          <t>GTO &amp; Meter</t>
        </is>
      </c>
      <c r="C13" s="7" t="inlineStr">
        <is>
          <t>Previous reading otomatis</t>
        </is>
      </c>
      <c r="D13" s="7" t="inlineStr">
        <is>
          <t>Buat reading kedua pada meter sama.</t>
        </is>
      </c>
      <c r="E13" s="7" t="inlineStr">
        <is>
          <t>previous_reading terisi otomatis dari current terakhir.</t>
        </is>
      </c>
      <c r="F13" s="5" t="inlineStr">
        <is>
          <t>Medium</t>
        </is>
      </c>
      <c r="G13" s="5" t="inlineStr">
        <is>
          <t>Not Run</t>
        </is>
      </c>
      <c r="H13" s="6" t="inlineStr"/>
      <c r="I13" s="5" t="inlineStr"/>
      <c r="J13" s="7" t="inlineStr"/>
    </row>
    <row r="14">
      <c r="A14" s="2" t="inlineStr">
        <is>
          <t>GT-04</t>
        </is>
      </c>
      <c r="B14" s="3" t="inlineStr">
        <is>
          <t>GTO &amp; Meter</t>
        </is>
      </c>
      <c r="C14" s="4" t="inlineStr">
        <is>
          <t>Aliran ke laporan</t>
        </is>
      </c>
      <c r="D14" s="4" t="inlineStr">
        <is>
          <t>Posting invoice GTO/meter, cetak Owners Statement.</t>
        </is>
      </c>
      <c r="E14" s="4" t="inlineStr">
        <is>
          <t>Pendapatan muncul di Income Owners Statement.</t>
        </is>
      </c>
      <c r="F14" s="2" t="inlineStr">
        <is>
          <t>Medium</t>
        </is>
      </c>
      <c r="G14" s="2" t="inlineStr">
        <is>
          <t>Not Run</t>
        </is>
      </c>
      <c r="H14" s="3" t="inlineStr"/>
      <c r="I14" s="2" t="inlineStr"/>
      <c r="J14" s="4" t="inlineStr"/>
    </row>
    <row r="15">
      <c r="A15" s="5" t="inlineStr">
        <is>
          <t>GU-01</t>
        </is>
      </c>
      <c r="B15" s="6" t="inlineStr">
        <is>
          <t>Guarantee</t>
        </is>
      </c>
      <c r="C15" s="7" t="inlineStr">
        <is>
          <t>Buat &amp; aktifkan jaminan</t>
        </is>
      </c>
      <c r="D15" s="7" t="inlineStr">
        <is>
          <t>Buat guarantee expiry 60 hari, Activate.</t>
        </is>
      </c>
      <c r="E15" s="7" t="inlineStr">
        <is>
          <t>State=Active; days_to_expiry≈60.</t>
        </is>
      </c>
      <c r="F15" s="5" t="inlineStr">
        <is>
          <t>High</t>
        </is>
      </c>
      <c r="G15" s="5" t="inlineStr">
        <is>
          <t>Not Run</t>
        </is>
      </c>
      <c r="H15" s="6" t="inlineStr"/>
      <c r="I15" s="5" t="inlineStr"/>
      <c r="J15" s="7" t="inlineStr"/>
    </row>
    <row r="16">
      <c r="A16" s="2" t="inlineStr">
        <is>
          <t>GU-02</t>
        </is>
      </c>
      <c r="B16" s="3" t="inlineStr">
        <is>
          <t>Guarantee</t>
        </is>
      </c>
      <c r="C16" s="4" t="inlineStr">
        <is>
          <t>Expiring soon</t>
        </is>
      </c>
      <c r="D16" s="4" t="inlineStr">
        <is>
          <t>Set expiry 10 hari (reminder 30). Jalankan cron.</t>
        </is>
      </c>
      <c r="E16" s="4" t="inlineStr">
        <is>
          <t>is_expiring=true; activity reminder terjadwal.</t>
        </is>
      </c>
      <c r="F16" s="2" t="inlineStr">
        <is>
          <t>Medium</t>
        </is>
      </c>
      <c r="G16" s="2" t="inlineStr">
        <is>
          <t>Not Run</t>
        </is>
      </c>
      <c r="H16" s="3" t="inlineStr"/>
      <c r="I16" s="2" t="inlineStr"/>
      <c r="J16" s="4" t="inlineStr"/>
    </row>
    <row r="17">
      <c r="A17" s="5" t="inlineStr">
        <is>
          <t>GU-03</t>
        </is>
      </c>
      <c r="B17" s="6" t="inlineStr">
        <is>
          <t>Guarantee</t>
        </is>
      </c>
      <c r="C17" s="7" t="inlineStr">
        <is>
          <t>Auto-expire</t>
        </is>
      </c>
      <c r="D17" s="7" t="inlineStr">
        <is>
          <t>Set expiry kemarin. Jalankan cron.</t>
        </is>
      </c>
      <c r="E17" s="7" t="inlineStr">
        <is>
          <t>State=Expired; ada log pesan.</t>
        </is>
      </c>
      <c r="F17" s="5" t="inlineStr">
        <is>
          <t>Medium</t>
        </is>
      </c>
      <c r="G17" s="5" t="inlineStr">
        <is>
          <t>Not Run</t>
        </is>
      </c>
      <c r="H17" s="6" t="inlineStr"/>
      <c r="I17" s="5" t="inlineStr"/>
      <c r="J17" s="7" t="inlineStr"/>
    </row>
    <row r="18">
      <c r="A18" s="2" t="inlineStr">
        <is>
          <t>GU-04</t>
        </is>
      </c>
      <c r="B18" s="3" t="inlineStr">
        <is>
          <t>Guarantee</t>
        </is>
      </c>
      <c r="C18" s="4" t="inlineStr">
        <is>
          <t>Release/Claim</t>
        </is>
      </c>
      <c r="D18" s="4" t="inlineStr">
        <is>
          <t>Klik Release lalu Claim pada jaminan berbeda.</t>
        </is>
      </c>
      <c r="E18" s="4" t="inlineStr">
        <is>
          <t>State berubah sesuai aksi.</t>
        </is>
      </c>
      <c r="F18" s="2" t="inlineStr">
        <is>
          <t>Low</t>
        </is>
      </c>
      <c r="G18" s="2" t="inlineStr">
        <is>
          <t>Not Run</t>
        </is>
      </c>
      <c r="H18" s="3" t="inlineStr"/>
      <c r="I18" s="2" t="inlineStr"/>
      <c r="J18" s="4" t="inlineStr"/>
    </row>
    <row r="19">
      <c r="A19" s="5" t="inlineStr">
        <is>
          <t>CL-01</t>
        </is>
      </c>
      <c r="B19" s="6" t="inlineStr">
        <is>
          <t>Casual Leasing</t>
        </is>
      </c>
      <c r="C19" s="7" t="inlineStr">
        <is>
          <t>Tarif per hari</t>
        </is>
      </c>
      <c r="D19" s="7" t="inlineStr">
        <is>
          <t>Periode 5 hari, Per Day, tarif=200rb.</t>
        </is>
      </c>
      <c r="E19" s="7" t="inlineStr">
        <is>
          <t>duration_days=5; total=1jt.</t>
        </is>
      </c>
      <c r="F19" s="5" t="inlineStr">
        <is>
          <t>High</t>
        </is>
      </c>
      <c r="G19" s="5" t="inlineStr">
        <is>
          <t>Not Run</t>
        </is>
      </c>
      <c r="H19" s="6" t="inlineStr"/>
      <c r="I19" s="5" t="inlineStr"/>
      <c r="J19" s="7" t="inlineStr"/>
    </row>
    <row r="20">
      <c r="A20" s="2" t="inlineStr">
        <is>
          <t>CL-02</t>
        </is>
      </c>
      <c r="B20" s="3" t="inlineStr">
        <is>
          <t>Casual Leasing</t>
        </is>
      </c>
      <c r="C20" s="4" t="inlineStr">
        <is>
          <t>Tarif per minggu</t>
        </is>
      </c>
      <c r="D20" s="4" t="inlineStr">
        <is>
          <t>Periode 10 hari, Per Week, tarif=1jt.</t>
        </is>
      </c>
      <c r="E20" s="4" t="inlineStr">
        <is>
          <t>quantity=ceil(10/7)=2; total=2jt.</t>
        </is>
      </c>
      <c r="F20" s="2" t="inlineStr">
        <is>
          <t>Medium</t>
        </is>
      </c>
      <c r="G20" s="2" t="inlineStr">
        <is>
          <t>Not Run</t>
        </is>
      </c>
      <c r="H20" s="3" t="inlineStr"/>
      <c r="I20" s="2" t="inlineStr"/>
      <c r="J20" s="4" t="inlineStr"/>
    </row>
    <row r="21">
      <c r="A21" s="5" t="inlineStr">
        <is>
          <t>CL-03</t>
        </is>
      </c>
      <c r="B21" s="6" t="inlineStr">
        <is>
          <t>Casual Leasing</t>
        </is>
      </c>
      <c r="C21" s="7" t="inlineStr">
        <is>
          <t>Buat invoice</t>
        </is>
      </c>
      <c r="D21" s="7" t="inlineStr">
        <is>
          <t>Confirm lalu Create Invoice.</t>
        </is>
      </c>
      <c r="E21" s="7" t="inlineStr">
        <is>
          <t>out_invoice sejumlah total; state=Active; ber-link properti.</t>
        </is>
      </c>
      <c r="F21" s="5" t="inlineStr">
        <is>
          <t>High</t>
        </is>
      </c>
      <c r="G21" s="5" t="inlineStr">
        <is>
          <t>Not Run</t>
        </is>
      </c>
      <c r="H21" s="6" t="inlineStr"/>
      <c r="I21" s="5" t="inlineStr"/>
      <c r="J21" s="7" t="inlineStr"/>
    </row>
    <row r="22">
      <c r="A22" s="2" t="inlineStr">
        <is>
          <t>HO-01</t>
        </is>
      </c>
      <c r="B22" s="3" t="inlineStr">
        <is>
          <t>Handover</t>
        </is>
      </c>
      <c r="C22" s="4" t="inlineStr">
        <is>
          <t>Move-in checklist</t>
        </is>
      </c>
      <c r="D22" s="4" t="inlineStr">
        <is>
          <t>Buat handover Move-in, Load Default Checklist.</t>
        </is>
      </c>
      <c r="E22" s="4" t="inlineStr">
        <is>
          <t>5 item checklist Move-in muncul.</t>
        </is>
      </c>
      <c r="F22" s="2" t="inlineStr">
        <is>
          <t>High</t>
        </is>
      </c>
      <c r="G22" s="2" t="inlineStr">
        <is>
          <t>Not Run</t>
        </is>
      </c>
      <c r="H22" s="3" t="inlineStr"/>
      <c r="I22" s="2" t="inlineStr"/>
      <c r="J22" s="4" t="inlineStr"/>
    </row>
    <row r="23">
      <c r="A23" s="5" t="inlineStr">
        <is>
          <t>HO-02</t>
        </is>
      </c>
      <c r="B23" s="6" t="inlineStr">
        <is>
          <t>Handover</t>
        </is>
      </c>
      <c r="C23" s="7" t="inlineStr">
        <is>
          <t>Progress</t>
        </is>
      </c>
      <c r="D23" s="7" t="inlineStr">
        <is>
          <t>Centang 3 dari 6 item.</t>
        </is>
      </c>
      <c r="E23" s="7" t="inlineStr">
        <is>
          <t>progress=50%.</t>
        </is>
      </c>
      <c r="F23" s="5" t="inlineStr">
        <is>
          <t>Low</t>
        </is>
      </c>
      <c r="G23" s="5" t="inlineStr">
        <is>
          <t>Not Run</t>
        </is>
      </c>
      <c r="H23" s="6" t="inlineStr"/>
      <c r="I23" s="5" t="inlineStr"/>
      <c r="J23" s="7" t="inlineStr"/>
    </row>
    <row r="24">
      <c r="A24" s="2" t="inlineStr">
        <is>
          <t>HO-03</t>
        </is>
      </c>
      <c r="B24" s="3" t="inlineStr">
        <is>
          <t>Handover</t>
        </is>
      </c>
      <c r="C24" s="4" t="inlineStr">
        <is>
          <t>Lifecycle</t>
        </is>
      </c>
      <c r="D24" s="4" t="inlineStr">
        <is>
          <t>Start lalu Complete.</t>
        </is>
      </c>
      <c r="E24" s="4" t="inlineStr">
        <is>
          <t>State=Completed; actual_date terisi.</t>
        </is>
      </c>
      <c r="F24" s="2" t="inlineStr">
        <is>
          <t>Medium</t>
        </is>
      </c>
      <c r="G24" s="2" t="inlineStr">
        <is>
          <t>Not Run</t>
        </is>
      </c>
      <c r="H24" s="3" t="inlineStr"/>
      <c r="I24" s="2" t="inlineStr"/>
      <c r="J24" s="4" t="inlineStr"/>
    </row>
    <row r="25">
      <c r="A25" s="5" t="inlineStr">
        <is>
          <t>HO-04</t>
        </is>
      </c>
      <c r="B25" s="6" t="inlineStr">
        <is>
          <t>Handover</t>
        </is>
      </c>
      <c r="C25" s="7" t="inlineStr">
        <is>
          <t>Fit-out fields</t>
        </is>
      </c>
      <c r="D25" s="7" t="inlineStr">
        <is>
          <t>Tipe Fit-out: isi kontraktor &amp; bond.</t>
        </is>
      </c>
      <c r="E25" s="7" t="inlineStr">
        <is>
          <t>Field fit-out tampil hanya untuk Fit-out.</t>
        </is>
      </c>
      <c r="F25" s="5" t="inlineStr">
        <is>
          <t>Low</t>
        </is>
      </c>
      <c r="G25" s="5" t="inlineStr">
        <is>
          <t>Not Run</t>
        </is>
      </c>
      <c r="H25" s="6" t="inlineStr"/>
      <c r="I25" s="5" t="inlineStr"/>
      <c r="J25" s="7" t="inlineStr"/>
    </row>
    <row r="26">
      <c r="A26" s="2" t="inlineStr">
        <is>
          <t>PT-01</t>
        </is>
      </c>
      <c r="B26" s="3" t="inlineStr">
        <is>
          <t>Tenant Portal</t>
        </is>
      </c>
      <c r="C26" s="4" t="inlineStr">
        <is>
          <t>Akses portal tenant</t>
        </is>
      </c>
      <c r="D26" s="4" t="inlineStr">
        <is>
          <t>Login sebagai tenant portal yang punya kontrak.</t>
        </is>
      </c>
      <c r="E26" s="4" t="inlineStr">
        <is>
          <t>Kartu Contracts tampil dengan jumlah benar.</t>
        </is>
      </c>
      <c r="F26" s="2" t="inlineStr">
        <is>
          <t>High</t>
        </is>
      </c>
      <c r="G26" s="2" t="inlineStr">
        <is>
          <t>Not Run</t>
        </is>
      </c>
      <c r="H26" s="3" t="inlineStr"/>
      <c r="I26" s="2" t="inlineStr"/>
      <c r="J26" s="4" t="inlineStr"/>
    </row>
    <row r="27">
      <c r="A27" s="5" t="inlineStr">
        <is>
          <t>PT-02</t>
        </is>
      </c>
      <c r="B27" s="6" t="inlineStr">
        <is>
          <t>Tenant Portal</t>
        </is>
      </c>
      <c r="C27" s="7" t="inlineStr">
        <is>
          <t>Isolasi data</t>
        </is>
      </c>
      <c r="D27" s="7" t="inlineStr">
        <is>
          <t>Tenant A akses kontrak tenant B (ubah id URL).</t>
        </is>
      </c>
      <c r="E27" s="7" t="inlineStr">
        <is>
          <t>Diarahkan ke /my (akses ditolak).</t>
        </is>
      </c>
      <c r="F27" s="5" t="inlineStr">
        <is>
          <t>High</t>
        </is>
      </c>
      <c r="G27" s="5" t="inlineStr">
        <is>
          <t>Not Run</t>
        </is>
      </c>
      <c r="H27" s="6" t="inlineStr"/>
      <c r="I27" s="5" t="inlineStr"/>
      <c r="J27" s="7" t="inlineStr"/>
    </row>
    <row r="28">
      <c r="A28" s="2" t="inlineStr">
        <is>
          <t>PT-03</t>
        </is>
      </c>
      <c r="B28" s="3" t="inlineStr">
        <is>
          <t>Tenant Portal</t>
        </is>
      </c>
      <c r="C28" s="4" t="inlineStr">
        <is>
          <t>Detail &amp; invoice</t>
        </is>
      </c>
      <c r="D28" s="4" t="inlineStr">
        <is>
          <t>Buka detail kontrak, klik View My Invoices.</t>
        </is>
      </c>
      <c r="E28" s="4" t="inlineStr">
        <is>
          <t>Detail tampil; daftar invoice tenant muncul.</t>
        </is>
      </c>
      <c r="F28" s="2" t="inlineStr">
        <is>
          <t>Medium</t>
        </is>
      </c>
      <c r="G28" s="2" t="inlineStr">
        <is>
          <t>Not Run</t>
        </is>
      </c>
      <c r="H28" s="3" t="inlineStr"/>
      <c r="I28" s="2" t="inlineStr"/>
      <c r="J28" s="4" t="inlineStr"/>
    </row>
    <row r="29">
      <c r="A29" s="5" t="inlineStr">
        <is>
          <t>CT-01</t>
        </is>
      </c>
      <c r="B29" s="6" t="inlineStr">
        <is>
          <t>CORETAX</t>
        </is>
      </c>
      <c r="C29" s="7" t="inlineStr">
        <is>
          <t>Ekspor Faktur PK</t>
        </is>
      </c>
      <c r="D29" s="7" t="inlineStr">
        <is>
          <t>Set TIN company &amp; buyer. Posting invoice. Export Faktur Keluaran.</t>
        </is>
      </c>
      <c r="E29" s="7" t="inlineStr">
        <is>
          <t>XML TaxInvoiceBulk terunduh; struktur v1.4; invoice ditandai exported.</t>
        </is>
      </c>
      <c r="F29" s="5" t="inlineStr">
        <is>
          <t>High</t>
        </is>
      </c>
      <c r="G29" s="5" t="inlineStr">
        <is>
          <t>Not Run</t>
        </is>
      </c>
      <c r="H29" s="6" t="inlineStr"/>
      <c r="I29" s="5" t="inlineStr"/>
      <c r="J29" s="7" t="inlineStr"/>
    </row>
    <row r="30">
      <c r="A30" s="2" t="inlineStr">
        <is>
          <t>CT-02</t>
        </is>
      </c>
      <c r="B30" s="3" t="inlineStr">
        <is>
          <t>CORETAX</t>
        </is>
      </c>
      <c r="C30" s="4" t="inlineStr">
        <is>
          <t>Retur PM</t>
        </is>
      </c>
      <c r="D30" s="4" t="inlineStr">
        <is>
          <t>Vendor credit note + Original Faktur No. Export Retur PM.</t>
        </is>
      </c>
      <c r="E30" s="4" t="inlineStr">
        <is>
          <t>InputTaxInvoiceReturn berisi Rows + FooterRow total.</t>
        </is>
      </c>
      <c r="F30" s="2" t="inlineStr">
        <is>
          <t>Medium</t>
        </is>
      </c>
      <c r="G30" s="2" t="inlineStr">
        <is>
          <t>Not Run</t>
        </is>
      </c>
      <c r="H30" s="3" t="inlineStr"/>
      <c r="I30" s="2" t="inlineStr"/>
      <c r="J30" s="4" t="inlineStr"/>
    </row>
    <row r="31">
      <c r="A31" s="5" t="inlineStr">
        <is>
          <t>CT-03</t>
        </is>
      </c>
      <c r="B31" s="6" t="inlineStr">
        <is>
          <t>CORETAX</t>
        </is>
      </c>
      <c r="C31" s="7" t="inlineStr">
        <is>
          <t>L9 Penyusutan</t>
        </is>
      </c>
      <c r="D31" s="7" t="inlineStr">
        <is>
          <t>Isi register L9, Tax Year. Export.</t>
        </is>
      </c>
      <c r="E31" s="7" t="inlineStr">
        <is>
          <t>DepreciationAmortization; nilai desimal utuh.</t>
        </is>
      </c>
      <c r="F31" s="5" t="inlineStr">
        <is>
          <t>Medium</t>
        </is>
      </c>
      <c r="G31" s="5" t="inlineStr">
        <is>
          <t>Not Run</t>
        </is>
      </c>
      <c r="H31" s="6" t="inlineStr"/>
      <c r="I31" s="5" t="inlineStr"/>
      <c r="J31" s="7" t="inlineStr"/>
    </row>
    <row r="32">
      <c r="A32" s="2" t="inlineStr">
        <is>
          <t>CT-04</t>
        </is>
      </c>
      <c r="B32" s="3" t="inlineStr">
        <is>
          <t>CORETAX</t>
        </is>
      </c>
      <c r="C32" s="4" t="inlineStr">
        <is>
          <t>Validasi tanpa TIN</t>
        </is>
      </c>
      <c r="D32" s="4" t="inlineStr">
        <is>
          <t>Hapus TIN company, coba Export PK.</t>
        </is>
      </c>
      <c r="E32" s="4" t="inlineStr">
        <is>
          <t>Muncul peringatan agar set TIN/NPWP.</t>
        </is>
      </c>
      <c r="F32" s="2" t="inlineStr">
        <is>
          <t>Low</t>
        </is>
      </c>
      <c r="G32" s="2" t="inlineStr">
        <is>
          <t>Not Run</t>
        </is>
      </c>
      <c r="H32" s="3" t="inlineStr"/>
      <c r="I32" s="2" t="inlineStr"/>
      <c r="J32" s="4" t="inlineStr"/>
    </row>
    <row r="33">
      <c r="A33" s="5" t="inlineStr">
        <is>
          <t>PU-01</t>
        </is>
      </c>
      <c r="B33" s="6" t="inlineStr">
        <is>
          <t>Purchase</t>
        </is>
      </c>
      <c r="C33" s="7" t="inlineStr">
        <is>
          <t>PO ber-properti → bill</t>
        </is>
      </c>
      <c r="D33" s="7" t="inlineStr">
        <is>
          <t>Buat PO Property terisi, konfirmasi, Create Bill, post.</t>
        </is>
      </c>
      <c r="E33" s="7" t="inlineStr">
        <is>
          <t>Vendor bill ber-link properti; muncul di Payment Details &amp; analytic.</t>
        </is>
      </c>
      <c r="F33" s="5" t="inlineStr">
        <is>
          <t>High</t>
        </is>
      </c>
      <c r="G33" s="5" t="inlineStr">
        <is>
          <t>Not Run</t>
        </is>
      </c>
      <c r="H33" s="6" t="inlineStr"/>
      <c r="I33" s="5" t="inlineStr"/>
      <c r="J33" s="7" t="inlineStr"/>
    </row>
    <row r="34">
      <c r="A34" s="2" t="inlineStr">
        <is>
          <t>PU-02</t>
        </is>
      </c>
      <c r="B34" s="3" t="inlineStr">
        <is>
          <t>Purchase</t>
        </is>
      </c>
      <c r="C34" s="4" t="inlineStr">
        <is>
          <t>PO dari maintenance</t>
        </is>
      </c>
      <c r="D34" s="4" t="inlineStr">
        <is>
          <t>Maintenance request (vendor &amp; produk) → Create Purchase Order.</t>
        </is>
      </c>
      <c r="E34" s="4" t="inlineStr">
        <is>
          <t>PO terbuat dengan baris produk request; maintenance_request_id terisi.</t>
        </is>
      </c>
      <c r="F34" s="2" t="inlineStr">
        <is>
          <t>Medium</t>
        </is>
      </c>
      <c r="G34" s="2" t="inlineStr">
        <is>
          <t>Not Run</t>
        </is>
      </c>
      <c r="H34" s="3" t="inlineStr"/>
      <c r="I34" s="2" t="inlineStr"/>
      <c r="J34" s="4" t="inlineStr"/>
    </row>
    <row r="35">
      <c r="A35" s="5" t="inlineStr">
        <is>
          <t>CR-01</t>
        </is>
      </c>
      <c r="B35" s="6" t="inlineStr">
        <is>
          <t>CRM</t>
        </is>
      </c>
      <c r="C35" s="7" t="inlineStr">
        <is>
          <t>Create Lease Contract</t>
        </is>
      </c>
      <c r="D35" s="7" t="inlineStr">
        <is>
          <t>Lead (partner &amp; property) → Create Lease Contract.</t>
        </is>
      </c>
      <c r="E35" s="7" t="inlineStr">
        <is>
          <t>Form tenancy terbuka dengan property &amp; tenant ter-default.</t>
        </is>
      </c>
      <c r="F35" s="5" t="inlineStr">
        <is>
          <t>High</t>
        </is>
      </c>
      <c r="G35" s="5" t="inlineStr">
        <is>
          <t>Not Run</t>
        </is>
      </c>
      <c r="H35" s="6" t="inlineStr"/>
      <c r="I35" s="5" t="inlineStr"/>
      <c r="J35" s="7" t="inlineStr"/>
    </row>
    <row r="36">
      <c r="A36" s="2" t="inlineStr">
        <is>
          <t>CR-02</t>
        </is>
      </c>
      <c r="B36" s="3" t="inlineStr">
        <is>
          <t>CRM</t>
        </is>
      </c>
      <c r="C36" s="4" t="inlineStr">
        <is>
          <t>Smart button kontrak</t>
        </is>
      </c>
      <c r="D36" s="4" t="inlineStr">
        <is>
          <t>Lead dengan partner yang punya kontrak.</t>
        </is>
      </c>
      <c r="E36" s="4" t="inlineStr">
        <is>
          <t>Smart button menampilkan jumlah &amp; daftar kontrak.</t>
        </is>
      </c>
      <c r="F36" s="2" t="inlineStr">
        <is>
          <t>Low</t>
        </is>
      </c>
      <c r="G36" s="2" t="inlineStr">
        <is>
          <t>Not Run</t>
        </is>
      </c>
      <c r="H36" s="3" t="inlineStr"/>
      <c r="I36" s="2" t="inlineStr"/>
      <c r="J36" s="4" t="inlineStr"/>
    </row>
    <row r="37">
      <c r="A37" s="5" t="inlineStr">
        <is>
          <t>PJ-01</t>
        </is>
      </c>
      <c r="B37" s="6" t="inlineStr">
        <is>
          <t>Project (Fit-out)</t>
        </is>
      </c>
      <c r="C37" s="7" t="inlineStr">
        <is>
          <t>Buat project fit-out</t>
        </is>
      </c>
      <c r="D37" s="7" t="inlineStr">
        <is>
          <t>Handover Fit-out 6 item → Create Fit-out Project.</t>
        </is>
      </c>
      <c r="E37" s="7" t="inlineStr">
        <is>
          <t>project + 6 task terbuat; project_id terisi.</t>
        </is>
      </c>
      <c r="F37" s="5" t="inlineStr">
        <is>
          <t>High</t>
        </is>
      </c>
      <c r="G37" s="5" t="inlineStr">
        <is>
          <t>Not Run</t>
        </is>
      </c>
      <c r="H37" s="6" t="inlineStr"/>
      <c r="I37" s="5" t="inlineStr"/>
      <c r="J37" s="7" t="inlineStr"/>
    </row>
    <row r="38">
      <c r="A38" s="2" t="inlineStr">
        <is>
          <t>PJ-02</t>
        </is>
      </c>
      <c r="B38" s="3" t="inlineStr">
        <is>
          <t>Project (Fit-out)</t>
        </is>
      </c>
      <c r="C38" s="4" t="inlineStr">
        <is>
          <t>Lihat tasks</t>
        </is>
      </c>
      <c r="D38" s="4" t="inlineStr">
        <is>
          <t>Klik Fit-out Tasks.</t>
        </is>
      </c>
      <c r="E38" s="4" t="inlineStr">
        <is>
          <t>Daftar 6 task pada project tampil.</t>
        </is>
      </c>
      <c r="F38" s="2" t="inlineStr">
        <is>
          <t>Low</t>
        </is>
      </c>
      <c r="G38" s="2" t="inlineStr">
        <is>
          <t>Not Run</t>
        </is>
      </c>
      <c r="H38" s="3" t="inlineStr"/>
      <c r="I38" s="2" t="inlineStr"/>
      <c r="J38" s="4" t="inlineStr"/>
    </row>
    <row r="39">
      <c r="A39" s="5" t="inlineStr">
        <is>
          <t>DM-01</t>
        </is>
      </c>
      <c r="B39" s="6" t="inlineStr">
        <is>
          <t>Documents</t>
        </is>
      </c>
      <c r="C39" s="7" t="inlineStr">
        <is>
          <t>Buat folder &amp; sync</t>
        </is>
      </c>
      <c r="D39" s="7" t="inlineStr">
        <is>
          <t>Properti dengan attachment → Open / Sync Documents.</t>
        </is>
      </c>
      <c r="E39" s="7" t="inlineStr">
        <is>
          <t>Folder terbuat; dokumen muncul; documents_count &gt; 0.</t>
        </is>
      </c>
      <c r="F39" s="5" t="inlineStr">
        <is>
          <t>Medium</t>
        </is>
      </c>
      <c r="G39" s="5" t="inlineStr">
        <is>
          <t>Not Run</t>
        </is>
      </c>
      <c r="H39" s="6" t="inlineStr"/>
      <c r="I39" s="5" t="inlineStr"/>
      <c r="J39" s="7" t="inlineStr"/>
    </row>
    <row r="40">
      <c r="A40" s="2" t="inlineStr">
        <is>
          <t>AS-01</t>
        </is>
      </c>
      <c r="B40" s="3" t="inlineStr">
        <is>
          <t>Fixed Assets</t>
        </is>
      </c>
      <c r="C40" s="4" t="inlineStr">
        <is>
          <t>Board garis lurus</t>
        </is>
      </c>
      <c r="D40" s="4" t="inlineStr">
        <is>
          <t>Aset 10jt, salvage 0, linear, jumlah=5, periode=12. Compute Depreciation.</t>
        </is>
      </c>
      <c r="E40" s="4" t="inlineStr">
        <is>
          <t>5 baris @ 2jt; akumulasi akhir=10jt; remaining akhir=0.</t>
        </is>
      </c>
      <c r="F40" s="2" t="inlineStr">
        <is>
          <t>High</t>
        </is>
      </c>
      <c r="G40" s="2" t="inlineStr">
        <is>
          <t>Not Run</t>
        </is>
      </c>
      <c r="H40" s="3" t="inlineStr"/>
      <c r="I40" s="2" t="inlineStr"/>
      <c r="J40" s="4" t="inlineStr"/>
    </row>
    <row r="41">
      <c r="A41" s="5" t="inlineStr">
        <is>
          <t>AS-02</t>
        </is>
      </c>
      <c r="B41" s="6" t="inlineStr">
        <is>
          <t>Fixed Assets</t>
        </is>
      </c>
      <c r="C41" s="7" t="inlineStr">
        <is>
          <t>Posting penyusutan</t>
        </is>
      </c>
      <c r="D41" s="7" t="inlineStr">
        <is>
          <t>Confirm; tanggal baris ≤ hari ini; Post Due Depreciation.</t>
        </is>
      </c>
      <c r="E41" s="7" t="inlineStr">
        <is>
          <t>Jurnal Dr Beban/Cr Akumulasi posted; ber-tag properti (analytic).</t>
        </is>
      </c>
      <c r="F41" s="5" t="inlineStr">
        <is>
          <t>High</t>
        </is>
      </c>
      <c r="G41" s="5" t="inlineStr">
        <is>
          <t>Not Run</t>
        </is>
      </c>
      <c r="H41" s="6" t="inlineStr"/>
      <c r="I41" s="5" t="inlineStr"/>
      <c r="J41" s="7" t="inlineStr"/>
    </row>
    <row r="42">
      <c r="A42" s="2" t="inlineStr">
        <is>
          <t>AS-03</t>
        </is>
      </c>
      <c r="B42" s="3" t="inlineStr">
        <is>
          <t>Fixed Assets</t>
        </is>
      </c>
      <c r="C42" s="4" t="inlineStr">
        <is>
          <t>Saldo menurun</t>
        </is>
      </c>
      <c r="D42" s="4" t="inlineStr">
        <is>
          <t>Aset declining, factor=2, jumlah=5. Compute.</t>
        </is>
      </c>
      <c r="E42" s="4" t="inlineStr">
        <is>
          <t>Nominal menurun tiap periode; baris terakhir menutup ke salvage.</t>
        </is>
      </c>
      <c r="F42" s="2" t="inlineStr">
        <is>
          <t>Medium</t>
        </is>
      </c>
      <c r="G42" s="2" t="inlineStr">
        <is>
          <t>Not Run</t>
        </is>
      </c>
      <c r="H42" s="3" t="inlineStr"/>
      <c r="I42" s="2" t="inlineStr"/>
      <c r="J42" s="4" t="inlineStr"/>
    </row>
    <row r="43">
      <c r="A43" s="5" t="inlineStr">
        <is>
          <t>AS-04</t>
        </is>
      </c>
      <c r="B43" s="6" t="inlineStr">
        <is>
          <t>Fixed Assets</t>
        </is>
      </c>
      <c r="C43" s="7" t="inlineStr">
        <is>
          <t>Revaluation naik</t>
        </is>
      </c>
      <c r="D43" s="7" t="inlineStr">
        <is>
          <t>Tambah revaluation +5jt → Post Revaluations.</t>
        </is>
      </c>
      <c r="E43" s="7" t="inlineStr">
        <is>
          <t>Jurnal Dr Aset/Cr Reserve 5jt; gross naik; board recompute.</t>
        </is>
      </c>
      <c r="F43" s="5" t="inlineStr">
        <is>
          <t>High</t>
        </is>
      </c>
      <c r="G43" s="5" t="inlineStr">
        <is>
          <t>Not Run</t>
        </is>
      </c>
      <c r="H43" s="6" t="inlineStr"/>
      <c r="I43" s="5" t="inlineStr"/>
      <c r="J43" s="7" t="inlineStr"/>
    </row>
    <row r="44">
      <c r="A44" s="2" t="inlineStr">
        <is>
          <t>AS-05</t>
        </is>
      </c>
      <c r="B44" s="3" t="inlineStr">
        <is>
          <t>Fixed Assets</t>
        </is>
      </c>
      <c r="C44" s="4" t="inlineStr">
        <is>
          <t>Revaluation turun</t>
        </is>
      </c>
      <c r="D44" s="4" t="inlineStr">
        <is>
          <t>Tambah revaluation −2jt → Post Revaluations.</t>
        </is>
      </c>
      <c r="E44" s="4" t="inlineStr">
        <is>
          <t>Jurnal Dr Reserve/Cr Aset 2jt; gross turun; board recompute.</t>
        </is>
      </c>
      <c r="F44" s="2" t="inlineStr">
        <is>
          <t>Medium</t>
        </is>
      </c>
      <c r="G44" s="2" t="inlineStr">
        <is>
          <t>Not Run</t>
        </is>
      </c>
      <c r="H44" s="3" t="inlineStr"/>
      <c r="I44" s="2" t="inlineStr"/>
      <c r="J44" s="4" t="inlineStr"/>
    </row>
    <row r="45">
      <c r="A45" s="5" t="inlineStr">
        <is>
          <t>AS-06</t>
        </is>
      </c>
      <c r="B45" s="6" t="inlineStr">
        <is>
          <t>Fixed Assets</t>
        </is>
      </c>
      <c r="C45" s="7" t="inlineStr">
        <is>
          <t>Sync CORETAX L9</t>
        </is>
      </c>
      <c r="D45" s="7" t="inlineStr">
        <is>
          <t>Klik Sync CORETAX L9 (coretax terpasang).</t>
        </is>
      </c>
      <c r="E45" s="7" t="inlineStr">
        <is>
          <t>Entri coretax.asset.depreciation terbuat dgn nilai perolehan &amp; penyusutan tahun berjalan.</t>
        </is>
      </c>
      <c r="F45" s="5" t="inlineStr">
        <is>
          <t>Low</t>
        </is>
      </c>
      <c r="G45" s="5" t="inlineStr">
        <is>
          <t>Not Run</t>
        </is>
      </c>
      <c r="H45" s="6" t="inlineStr"/>
      <c r="I45" s="5" t="inlineStr"/>
      <c r="J45" s="7" t="inlineStr"/>
    </row>
    <row r="46">
      <c r="A46" s="2" t="inlineStr">
        <is>
          <t>DC-01</t>
        </is>
      </c>
      <c r="B46" s="3" t="inlineStr">
        <is>
          <t>Documents CE</t>
        </is>
      </c>
      <c r="C46" s="4" t="inlineStr">
        <is>
          <t>Unggah lampiran</t>
        </is>
      </c>
      <c r="D46" s="4" t="inlineStr">
        <is>
          <t>Lampirkan 2 dokumen pada properti via tab Documents.</t>
        </is>
      </c>
      <c r="E46" s="4" t="inlineStr">
        <is>
          <t>documents_count=2; tersimpan sebagai ir.attachment milik properti.</t>
        </is>
      </c>
      <c r="F46" s="2" t="inlineStr">
        <is>
          <t>Low</t>
        </is>
      </c>
      <c r="G46" s="2" t="inlineStr">
        <is>
          <t>Not Run</t>
        </is>
      </c>
      <c r="H46" s="3" t="inlineStr"/>
      <c r="I46" s="2" t="inlineStr"/>
      <c r="J46" s="4" t="inlineStr"/>
    </row>
    <row r="47">
      <c r="A47" s="5" t="inlineStr">
        <is>
          <t>OP-01</t>
        </is>
      </c>
      <c r="B47" s="6" t="inlineStr">
        <is>
          <t>Owner Portal</t>
        </is>
      </c>
      <c r="C47" s="7" t="inlineStr">
        <is>
          <t>Akses pemilik</t>
        </is>
      </c>
      <c r="D47" s="7" t="inlineStr">
        <is>
          <t>Login sebagai owner portal yang memiliki properti.</t>
        </is>
      </c>
      <c r="E47" s="7" t="inlineStr">
        <is>
          <t>Daftar Properties hanya menampilkan properti miliknya.</t>
        </is>
      </c>
      <c r="F47" s="5" t="inlineStr">
        <is>
          <t>High</t>
        </is>
      </c>
      <c r="G47" s="5" t="inlineStr">
        <is>
          <t>Not Run</t>
        </is>
      </c>
      <c r="H47" s="6" t="inlineStr"/>
      <c r="I47" s="5" t="inlineStr"/>
      <c r="J47" s="7" t="inlineStr"/>
    </row>
    <row r="48">
      <c r="A48" s="2" t="inlineStr">
        <is>
          <t>OP-02</t>
        </is>
      </c>
      <c r="B48" s="3" t="inlineStr">
        <is>
          <t>Owner Portal</t>
        </is>
      </c>
      <c r="C48" s="4" t="inlineStr">
        <is>
          <t>Isolasi data</t>
        </is>
      </c>
      <c r="D48" s="4" t="inlineStr">
        <is>
          <t>Owner A coba akses properti owner B via id URL.</t>
        </is>
      </c>
      <c r="E48" s="4" t="inlineStr">
        <is>
          <t>Akses ditolak / diarahkan ke /my.</t>
        </is>
      </c>
      <c r="F48" s="2" t="inlineStr">
        <is>
          <t>High</t>
        </is>
      </c>
      <c r="G48" s="2" t="inlineStr">
        <is>
          <t>Not Run</t>
        </is>
      </c>
      <c r="H48" s="3" t="inlineStr"/>
      <c r="I48" s="2" t="inlineStr"/>
      <c r="J48" s="4" t="inlineStr"/>
    </row>
    <row r="49">
      <c r="A49" s="5" t="inlineStr">
        <is>
          <t>OP-03</t>
        </is>
      </c>
      <c r="B49" s="6" t="inlineStr">
        <is>
          <t>Owner Portal</t>
        </is>
      </c>
      <c r="C49" s="7" t="inlineStr">
        <is>
          <t>Lihat remittance</t>
        </is>
      </c>
      <c r="D49" s="7" t="inlineStr">
        <is>
          <t>Buka detail properti dengan remittance posted.</t>
        </is>
      </c>
      <c r="E49" s="7" t="inlineStr">
        <is>
          <t>Daftar remittance tampil dengan jumlah benar.</t>
        </is>
      </c>
      <c r="F49" s="5" t="inlineStr">
        <is>
          <t>Medium</t>
        </is>
      </c>
      <c r="G49" s="5" t="inlineStr">
        <is>
          <t>Not Run</t>
        </is>
      </c>
      <c r="H49" s="6" t="inlineStr"/>
      <c r="I49" s="5" t="inlineStr"/>
      <c r="J49" s="7" t="inlineStr"/>
    </row>
    <row r="50">
      <c r="A50" s="2" t="inlineStr">
        <is>
          <t>CM-01</t>
        </is>
      </c>
      <c r="B50" s="3" t="inlineStr">
        <is>
          <t>CAM / Service Charge</t>
        </is>
      </c>
      <c r="C50" s="4" t="inlineStr">
        <is>
          <t>Apportion per area</t>
        </is>
      </c>
      <c r="D50" s="4" t="inlineStr">
        <is>
          <t>Pool=120jt; 3 tenant area 100/200/300 m². Apportion.</t>
        </is>
      </c>
      <c r="E50" s="4" t="inlineStr">
        <is>
          <t>Alokasi 20/40/60 jt sesuai proporsi area.</t>
        </is>
      </c>
      <c r="F50" s="2" t="inlineStr">
        <is>
          <t>High</t>
        </is>
      </c>
      <c r="G50" s="2" t="inlineStr">
        <is>
          <t>Not Run</t>
        </is>
      </c>
      <c r="H50" s="3" t="inlineStr"/>
      <c r="I50" s="2" t="inlineStr"/>
      <c r="J50" s="4" t="inlineStr"/>
    </row>
    <row r="51">
      <c r="A51" s="5" t="inlineStr">
        <is>
          <t>CM-02</t>
        </is>
      </c>
      <c r="B51" s="6" t="inlineStr">
        <is>
          <t>CAM / Service Charge</t>
        </is>
      </c>
      <c r="C51" s="7" t="inlineStr">
        <is>
          <t>Invoice service charge</t>
        </is>
      </c>
      <c r="D51" s="7" t="inlineStr">
        <is>
          <t>Klik Create Invoices.</t>
        </is>
      </c>
      <c r="E51" s="7" t="inlineStr">
        <is>
          <t>out_invoice per tenant ber-link properti; muncul di Owners Statement &amp; analytic.</t>
        </is>
      </c>
      <c r="F51" s="5" t="inlineStr">
        <is>
          <t>High</t>
        </is>
      </c>
      <c r="G51" s="5" t="inlineStr">
        <is>
          <t>Not Run</t>
        </is>
      </c>
      <c r="H51" s="6" t="inlineStr"/>
      <c r="I51" s="5" t="inlineStr"/>
      <c r="J51" s="7" t="inlineStr"/>
    </row>
    <row r="52">
      <c r="A52" s="2" t="inlineStr">
        <is>
          <t>CM-03</t>
        </is>
      </c>
      <c r="B52" s="3" t="inlineStr">
        <is>
          <t>CAM / Service Charge</t>
        </is>
      </c>
      <c r="C52" s="4" t="inlineStr">
        <is>
          <t>Budget vs actual</t>
        </is>
      </c>
      <c r="D52" s="4" t="inlineStr">
        <is>
          <t>Isi actual berbeda dari budget.</t>
        </is>
      </c>
      <c r="E52" s="4" t="inlineStr">
        <is>
          <t>Variance terhitung untuk rekonsiliasi.</t>
        </is>
      </c>
      <c r="F52" s="2" t="inlineStr">
        <is>
          <t>Medium</t>
        </is>
      </c>
      <c r="G52" s="2" t="inlineStr">
        <is>
          <t>Not Run</t>
        </is>
      </c>
      <c r="H52" s="3" t="inlineStr"/>
      <c r="I52" s="2" t="inlineStr"/>
      <c r="J52" s="4" t="inlineStr"/>
    </row>
    <row r="53">
      <c r="A53" s="5" t="inlineStr">
        <is>
          <t>RE-01</t>
        </is>
      </c>
      <c r="B53" s="6" t="inlineStr">
        <is>
          <t>Rent Escalation</t>
        </is>
      </c>
      <c r="C53" s="7" t="inlineStr">
        <is>
          <t>Eskalasi %</t>
        </is>
      </c>
      <c r="D53" s="7" t="inlineStr">
        <is>
          <t>Sewa 10jt, 10%/tahun, due hari ini. Jalankan cron.</t>
        </is>
      </c>
      <c r="E53" s="7" t="inlineStr">
        <is>
          <t>Sewa naik ke 11jt; log mencatat 10jt→11jt.</t>
        </is>
      </c>
      <c r="F53" s="5" t="inlineStr">
        <is>
          <t>High</t>
        </is>
      </c>
      <c r="G53" s="5" t="inlineStr">
        <is>
          <t>Not Run</t>
        </is>
      </c>
      <c r="H53" s="6" t="inlineStr"/>
      <c r="I53" s="5" t="inlineStr"/>
      <c r="J53" s="7" t="inlineStr"/>
    </row>
    <row r="54">
      <c r="A54" s="2" t="inlineStr">
        <is>
          <t>RE-02</t>
        </is>
      </c>
      <c r="B54" s="3" t="inlineStr">
        <is>
          <t>Rent Escalation</t>
        </is>
      </c>
      <c r="C54" s="4" t="inlineStr">
        <is>
          <t>Eskalasi amount</t>
        </is>
      </c>
      <c r="D54" s="4" t="inlineStr">
        <is>
          <t>Escalation +500rb. Jalankan cron.</t>
        </is>
      </c>
      <c r="E54" s="4" t="inlineStr">
        <is>
          <t>Sewa naik 500rb; log tercatat.</t>
        </is>
      </c>
      <c r="F54" s="2" t="inlineStr">
        <is>
          <t>Medium</t>
        </is>
      </c>
      <c r="G54" s="2" t="inlineStr">
        <is>
          <t>Not Run</t>
        </is>
      </c>
      <c r="H54" s="3" t="inlineStr"/>
      <c r="I54" s="2" t="inlineStr"/>
      <c r="J54" s="4" t="inlineStr"/>
    </row>
    <row r="55">
      <c r="A55" s="5" t="inlineStr">
        <is>
          <t>RE-03</t>
        </is>
      </c>
      <c r="B55" s="6" t="inlineStr">
        <is>
          <t>Rent Escalation</t>
        </is>
      </c>
      <c r="C55" s="7" t="inlineStr">
        <is>
          <t>Belum jatuh tempo</t>
        </is>
      </c>
      <c r="D55" s="7" t="inlineStr">
        <is>
          <t>Tanggal due di masa depan. Jalankan cron.</t>
        </is>
      </c>
      <c r="E55" s="7" t="inlineStr">
        <is>
          <t>Tidak ada perubahan sewa.</t>
        </is>
      </c>
      <c r="F55" s="5" t="inlineStr">
        <is>
          <t>Low</t>
        </is>
      </c>
      <c r="G55" s="5" t="inlineStr">
        <is>
          <t>Not Run</t>
        </is>
      </c>
      <c r="H55" s="6" t="inlineStr"/>
      <c r="I55" s="5" t="inlineStr"/>
      <c r="J55" s="7" t="inlineStr"/>
    </row>
    <row r="56">
      <c r="A56" s="2" t="inlineStr">
        <is>
          <t>DB-01</t>
        </is>
      </c>
      <c r="B56" s="3" t="inlineStr">
        <is>
          <t>KPI Dashboard</t>
        </is>
      </c>
      <c r="C56" s="4" t="inlineStr">
        <is>
          <t>Hitung KPI</t>
        </is>
      </c>
      <c r="D56" s="4" t="inlineStr">
        <is>
          <t>Dengan kontrak &amp; invoice ada, buka Dashboard.</t>
        </is>
      </c>
      <c r="E56" s="4" t="inlineStr">
        <is>
          <t>NOI=income−expense; arrears=invoice overdue; collection rate konsisten.</t>
        </is>
      </c>
      <c r="F56" s="2" t="inlineStr">
        <is>
          <t>High</t>
        </is>
      </c>
      <c r="G56" s="2" t="inlineStr">
        <is>
          <t>Not Run</t>
        </is>
      </c>
      <c r="H56" s="3" t="inlineStr"/>
      <c r="I56" s="2" t="inlineStr"/>
      <c r="J56" s="4" t="inlineStr"/>
    </row>
    <row r="57">
      <c r="A57" s="5" t="inlineStr">
        <is>
          <t>DB-02</t>
        </is>
      </c>
      <c r="B57" s="6" t="inlineStr">
        <is>
          <t>KPI Dashboard</t>
        </is>
      </c>
      <c r="C57" s="7" t="inlineStr">
        <is>
          <t>Lease expiring</t>
        </is>
      </c>
      <c r="D57" s="7" t="inlineStr">
        <is>
          <t>Ada kontrak berakhir dalam 12 bulan.</t>
        </is>
      </c>
      <c r="E57" s="7" t="inlineStr">
        <is>
          <t>Counter leases-expiring menampilkan jumlah benar.</t>
        </is>
      </c>
      <c r="F57" s="5" t="inlineStr">
        <is>
          <t>Medium</t>
        </is>
      </c>
      <c r="G57" s="5" t="inlineStr">
        <is>
          <t>Not Run</t>
        </is>
      </c>
      <c r="H57" s="6" t="inlineStr"/>
      <c r="I57" s="5" t="inlineStr"/>
      <c r="J57" s="7" t="inlineStr"/>
    </row>
    <row r="58">
      <c r="A58" s="2" t="inlineStr">
        <is>
          <t>DN-01</t>
        </is>
      </c>
      <c r="B58" s="3" t="inlineStr">
        <is>
          <t>Dunning</t>
        </is>
      </c>
      <c r="C58" s="4" t="inlineStr">
        <is>
          <t>Naik level</t>
        </is>
      </c>
      <c r="D58" s="4" t="inlineStr">
        <is>
          <t>Invoice overdue melewati ambang level 1. Jalankan cron.</t>
        </is>
      </c>
      <c r="E58" s="4" t="inlineStr">
        <is>
          <t>Dunning level=1; email reminder terkirim.</t>
        </is>
      </c>
      <c r="F58" s="2" t="inlineStr">
        <is>
          <t>High</t>
        </is>
      </c>
      <c r="G58" s="2" t="inlineStr">
        <is>
          <t>Not Run</t>
        </is>
      </c>
      <c r="H58" s="3" t="inlineStr"/>
      <c r="I58" s="2" t="inlineStr"/>
      <c r="J58" s="4" t="inlineStr"/>
    </row>
    <row r="59">
      <c r="A59" s="5" t="inlineStr">
        <is>
          <t>DN-02</t>
        </is>
      </c>
      <c r="B59" s="6" t="inlineStr">
        <is>
          <t>Dunning</t>
        </is>
      </c>
      <c r="C59" s="7" t="inlineStr">
        <is>
          <t>Late fee</t>
        </is>
      </c>
      <c r="D59" s="7" t="inlineStr">
        <is>
          <t>Aktifkan late fee pada level. Jalankan cron.</t>
        </is>
      </c>
      <c r="E59" s="7" t="inlineStr">
        <is>
          <t>Denda ditambahkan sesuai konfigurasi.</t>
        </is>
      </c>
      <c r="F59" s="5" t="inlineStr">
        <is>
          <t>Medium</t>
        </is>
      </c>
      <c r="G59" s="5" t="inlineStr">
        <is>
          <t>Not Run</t>
        </is>
      </c>
      <c r="H59" s="6" t="inlineStr"/>
      <c r="I59" s="5" t="inlineStr"/>
      <c r="J59" s="7" t="inlineStr"/>
    </row>
    <row r="60">
      <c r="A60" s="2" t="inlineStr">
        <is>
          <t>DN-03</t>
        </is>
      </c>
      <c r="B60" s="3" t="inlineStr">
        <is>
          <t>Dunning</t>
        </is>
      </c>
      <c r="C60" s="4" t="inlineStr">
        <is>
          <t>Lunas berhenti</t>
        </is>
      </c>
      <c r="D60" s="4" t="inlineStr">
        <is>
          <t>Bayar invoice. Jalankan cron.</t>
        </is>
      </c>
      <c r="E60" s="4" t="inlineStr">
        <is>
          <t>Tidak ada reminder lanjutan.</t>
        </is>
      </c>
      <c r="F60" s="2" t="inlineStr">
        <is>
          <t>Medium</t>
        </is>
      </c>
      <c r="G60" s="2" t="inlineStr">
        <is>
          <t>Not Run</t>
        </is>
      </c>
      <c r="H60" s="3" t="inlineStr"/>
      <c r="I60" s="2" t="inlineStr"/>
      <c r="J60" s="4" t="inlineStr"/>
    </row>
    <row r="61">
      <c r="A61" s="5" t="inlineStr">
        <is>
          <t>IN-01</t>
        </is>
      </c>
      <c r="B61" s="6" t="inlineStr">
        <is>
          <t>Insurance</t>
        </is>
      </c>
      <c r="C61" s="7" t="inlineStr">
        <is>
          <t>Buat polis</t>
        </is>
      </c>
      <c r="D61" s="7" t="inlineStr">
        <is>
          <t>Buat polis expiry 30 hari ke depan.</t>
        </is>
      </c>
      <c r="E61" s="7" t="inlineStr">
        <is>
          <t>Polis tersimpan; days-to-expiry terhitung.</t>
        </is>
      </c>
      <c r="F61" s="5" t="inlineStr">
        <is>
          <t>Medium</t>
        </is>
      </c>
      <c r="G61" s="5" t="inlineStr">
        <is>
          <t>Not Run</t>
        </is>
      </c>
      <c r="H61" s="6" t="inlineStr"/>
      <c r="I61" s="5" t="inlineStr"/>
      <c r="J61" s="7" t="inlineStr"/>
    </row>
    <row r="62">
      <c r="A62" s="2" t="inlineStr">
        <is>
          <t>IN-02</t>
        </is>
      </c>
      <c r="B62" s="3" t="inlineStr">
        <is>
          <t>Insurance</t>
        </is>
      </c>
      <c r="C62" s="4" t="inlineStr">
        <is>
          <t>Reminder</t>
        </is>
      </c>
      <c r="D62" s="4" t="inlineStr">
        <is>
          <t>Expiry dalam lead window. Jalankan cron.</t>
        </is>
      </c>
      <c r="E62" s="4" t="inlineStr">
        <is>
          <t>Activity reminder terjadwal pada penanggung jawab.</t>
        </is>
      </c>
      <c r="F62" s="2" t="inlineStr">
        <is>
          <t>Medium</t>
        </is>
      </c>
      <c r="G62" s="2" t="inlineStr">
        <is>
          <t>Not Run</t>
        </is>
      </c>
      <c r="H62" s="3" t="inlineStr"/>
      <c r="I62" s="2" t="inlineStr"/>
      <c r="J62" s="4" t="inlineStr"/>
    </row>
    <row r="63">
      <c r="A63" s="5" t="inlineStr">
        <is>
          <t>LE-01</t>
        </is>
      </c>
      <c r="B63" s="6" t="inlineStr">
        <is>
          <t>Lease Expiry</t>
        </is>
      </c>
      <c r="C63" s="7" t="inlineStr">
        <is>
          <t>Filter 30 hari</t>
        </is>
      </c>
      <c r="D63" s="7" t="inlineStr">
        <is>
          <t>Kontrak berakhir dalam 20 hari.</t>
        </is>
      </c>
      <c r="E63" s="7" t="inlineStr">
        <is>
          <t>Muncul pada filter 30 hari.</t>
        </is>
      </c>
      <c r="F63" s="5" t="inlineStr">
        <is>
          <t>High</t>
        </is>
      </c>
      <c r="G63" s="5" t="inlineStr">
        <is>
          <t>Not Run</t>
        </is>
      </c>
      <c r="H63" s="6" t="inlineStr"/>
      <c r="I63" s="5" t="inlineStr"/>
      <c r="J63" s="7" t="inlineStr"/>
    </row>
    <row r="64">
      <c r="A64" s="2" t="inlineStr">
        <is>
          <t>LE-02</t>
        </is>
      </c>
      <c r="B64" s="3" t="inlineStr">
        <is>
          <t>Lease Expiry</t>
        </is>
      </c>
      <c r="C64" s="4" t="inlineStr">
        <is>
          <t>Reminder renewal</t>
        </is>
      </c>
      <c r="D64" s="4" t="inlineStr">
        <is>
          <t>Jalankan cron.</t>
        </is>
      </c>
      <c r="E64" s="4" t="inlineStr">
        <is>
          <t>Activity reminder renewal terjadwal.</t>
        </is>
      </c>
      <c r="F64" s="2" t="inlineStr">
        <is>
          <t>Medium</t>
        </is>
      </c>
      <c r="G64" s="2" t="inlineStr">
        <is>
          <t>Not Run</t>
        </is>
      </c>
      <c r="H64" s="3" t="inlineStr"/>
      <c r="I64" s="2" t="inlineStr"/>
      <c r="J64" s="4" t="inlineStr"/>
    </row>
    <row r="65">
      <c r="A65" s="5" t="inlineStr">
        <is>
          <t>VC-01</t>
        </is>
      </c>
      <c r="B65" s="6" t="inlineStr">
        <is>
          <t>Vacancy</t>
        </is>
      </c>
      <c r="C65" s="7" t="inlineStr">
        <is>
          <t>Kelompok status</t>
        </is>
      </c>
      <c r="D65" s="7" t="inlineStr">
        <is>
          <t>Beberapa properti status berbeda.</t>
        </is>
      </c>
      <c r="E65" s="7" t="inlineStr">
        <is>
          <t>Board mengelompokkan benar sesuai stage.</t>
        </is>
      </c>
      <c r="F65" s="5" t="inlineStr">
        <is>
          <t>Medium</t>
        </is>
      </c>
      <c r="G65" s="5" t="inlineStr">
        <is>
          <t>Not Run</t>
        </is>
      </c>
      <c r="H65" s="6" t="inlineStr"/>
      <c r="I65" s="5" t="inlineStr"/>
      <c r="J65" s="7" t="inlineStr"/>
    </row>
    <row r="66">
      <c r="A66" s="2" t="inlineStr">
        <is>
          <t>VC-02</t>
        </is>
      </c>
      <c r="B66" s="3" t="inlineStr">
        <is>
          <t>Vacancy</t>
        </is>
      </c>
      <c r="C66" s="4" t="inlineStr">
        <is>
          <t>Filter available</t>
        </is>
      </c>
      <c r="D66" s="4" t="inlineStr">
        <is>
          <t>Pilih filter Available.</t>
        </is>
      </c>
      <c r="E66" s="4" t="inlineStr">
        <is>
          <t>Hanya properti available tampil.</t>
        </is>
      </c>
      <c r="F66" s="2" t="inlineStr">
        <is>
          <t>Low</t>
        </is>
      </c>
      <c r="G66" s="2" t="inlineStr">
        <is>
          <t>Not Run</t>
        </is>
      </c>
      <c r="H66" s="3" t="inlineStr"/>
      <c r="I66" s="2" t="inlineStr"/>
      <c r="J66" s="4" t="inlineStr"/>
    </row>
    <row r="67">
      <c r="A67" s="5" t="inlineStr">
        <is>
          <t>PP-01</t>
        </is>
      </c>
      <c r="B67" s="6" t="inlineStr">
        <is>
          <t>PPM</t>
        </is>
      </c>
      <c r="C67" s="7" t="inlineStr">
        <is>
          <t>Generate request</t>
        </is>
      </c>
      <c r="D67" s="7" t="inlineStr">
        <is>
          <t>PPM plan due hari ini. Jalankan cron.</t>
        </is>
      </c>
      <c r="E67" s="7" t="inlineStr">
        <is>
          <t>maintenance.request baru terbuat sesuai plan.</t>
        </is>
      </c>
      <c r="F67" s="5" t="inlineStr">
        <is>
          <t>High</t>
        </is>
      </c>
      <c r="G67" s="5" t="inlineStr">
        <is>
          <t>Not Run</t>
        </is>
      </c>
      <c r="H67" s="6" t="inlineStr"/>
      <c r="I67" s="5" t="inlineStr"/>
      <c r="J67" s="7" t="inlineStr"/>
    </row>
    <row r="68">
      <c r="A68" s="2" t="inlineStr">
        <is>
          <t>PP-02</t>
        </is>
      </c>
      <c r="B68" s="3" t="inlineStr">
        <is>
          <t>PPM</t>
        </is>
      </c>
      <c r="C68" s="4" t="inlineStr">
        <is>
          <t>Interval berikut</t>
        </is>
      </c>
      <c r="D68" s="4" t="inlineStr">
        <is>
          <t>Setelah generate, cek next date.</t>
        </is>
      </c>
      <c r="E68" s="4" t="inlineStr">
        <is>
          <t>Tanggal jadwal berikut bergeser sesuai interval.</t>
        </is>
      </c>
      <c r="F68" s="2" t="inlineStr">
        <is>
          <t>Medium</t>
        </is>
      </c>
      <c r="G68" s="2" t="inlineStr">
        <is>
          <t>Not Run</t>
        </is>
      </c>
      <c r="H68" s="3" t="inlineStr"/>
      <c r="I68" s="2" t="inlineStr"/>
      <c r="J68" s="4" t="inlineStr"/>
    </row>
    <row r="69">
      <c r="A69" s="5" t="inlineStr">
        <is>
          <t>PK-01</t>
        </is>
      </c>
      <c r="B69" s="6" t="inlineStr">
        <is>
          <t>Parking</t>
        </is>
      </c>
      <c r="C69" s="7" t="inlineStr">
        <is>
          <t>Alokasi bay</t>
        </is>
      </c>
      <c r="D69" s="7" t="inlineStr">
        <is>
          <t>Tetapkan bay ke tenant.</t>
        </is>
      </c>
      <c r="E69" s="7" t="inlineStr">
        <is>
          <t>Bay berstatus allocated; terkait tenant/kontrak.</t>
        </is>
      </c>
      <c r="F69" s="5" t="inlineStr">
        <is>
          <t>Medium</t>
        </is>
      </c>
      <c r="G69" s="5" t="inlineStr">
        <is>
          <t>Not Run</t>
        </is>
      </c>
      <c r="H69" s="6" t="inlineStr"/>
      <c r="I69" s="5" t="inlineStr"/>
      <c r="J69" s="7" t="inlineStr"/>
    </row>
    <row r="70">
      <c r="A70" s="2" t="inlineStr">
        <is>
          <t>PK-02</t>
        </is>
      </c>
      <c r="B70" s="3" t="inlineStr">
        <is>
          <t>Parking</t>
        </is>
      </c>
      <c r="C70" s="4" t="inlineStr">
        <is>
          <t>Invoice parkir</t>
        </is>
      </c>
      <c r="D70" s="4" t="inlineStr">
        <is>
          <t>Buat invoice parkir.</t>
        </is>
      </c>
      <c r="E70" s="4" t="inlineStr">
        <is>
          <t>out_invoice ber-link properti; muncul di Owners Statement.</t>
        </is>
      </c>
      <c r="F70" s="2" t="inlineStr">
        <is>
          <t>Medium</t>
        </is>
      </c>
      <c r="G70" s="2" t="inlineStr">
        <is>
          <t>Not Run</t>
        </is>
      </c>
      <c r="H70" s="3" t="inlineStr"/>
      <c r="I70" s="2" t="inlineStr"/>
      <c r="J70" s="4" t="inlineStr"/>
    </row>
    <row r="71">
      <c r="A71" s="5" t="inlineStr">
        <is>
          <t>VL-01</t>
        </is>
      </c>
      <c r="B71" s="6" t="inlineStr">
        <is>
          <t>Valuation</t>
        </is>
      </c>
      <c r="C71" s="7" t="inlineStr">
        <is>
          <t>Catat valuasi</t>
        </is>
      </c>
      <c r="D71" s="7" t="inlineStr">
        <is>
          <t>Buat 2 valuasi tanggal berbeda.</t>
        </is>
      </c>
      <c r="E71" s="7" t="inlineStr">
        <is>
          <t>Latest value = valuasi tanggal terbaru.</t>
        </is>
      </c>
      <c r="F71" s="5" t="inlineStr">
        <is>
          <t>Low</t>
        </is>
      </c>
      <c r="G71" s="5" t="inlineStr">
        <is>
          <t>Not Run</t>
        </is>
      </c>
      <c r="H71" s="6" t="inlineStr"/>
      <c r="I71" s="5" t="inlineStr"/>
      <c r="J71" s="7" t="inlineStr"/>
    </row>
    <row r="72">
      <c r="A72" s="2" t="inlineStr">
        <is>
          <t>AC-01</t>
        </is>
      </c>
      <c r="B72" s="3" t="inlineStr">
        <is>
          <t>Access</t>
        </is>
      </c>
      <c r="C72" s="4" t="inlineStr">
        <is>
          <t>Terbitkan kartu</t>
        </is>
      </c>
      <c r="D72" s="4" t="inlineStr">
        <is>
          <t>Buat kartu akses untuk tenant.</t>
        </is>
      </c>
      <c r="E72" s="4" t="inlineStr">
        <is>
          <t>Kartu tercatat &amp; terkait tenant.</t>
        </is>
      </c>
      <c r="F72" s="2" t="inlineStr">
        <is>
          <t>Low</t>
        </is>
      </c>
      <c r="G72" s="2" t="inlineStr">
        <is>
          <t>Not Run</t>
        </is>
      </c>
      <c r="H72" s="3" t="inlineStr"/>
      <c r="I72" s="2" t="inlineStr"/>
      <c r="J72" s="4" t="inlineStr"/>
    </row>
    <row r="73">
      <c r="A73" s="5" t="inlineStr">
        <is>
          <t>AC-02</t>
        </is>
      </c>
      <c r="B73" s="6" t="inlineStr">
        <is>
          <t>Access</t>
        </is>
      </c>
      <c r="C73" s="7" t="inlineStr">
        <is>
          <t>Log tamu</t>
        </is>
      </c>
      <c r="D73" s="7" t="inlineStr">
        <is>
          <t>Catat check-in lalu check-out tamu.</t>
        </is>
      </c>
      <c r="E73" s="7" t="inlineStr">
        <is>
          <t>Waktu check-in/out tersimpan.</t>
        </is>
      </c>
      <c r="F73" s="5" t="inlineStr">
        <is>
          <t>Low</t>
        </is>
      </c>
      <c r="G73" s="5" t="inlineStr">
        <is>
          <t>Not Run</t>
        </is>
      </c>
      <c r="H73" s="6" t="inlineStr"/>
      <c r="I73" s="5" t="inlineStr"/>
      <c r="J73" s="7" t="inlineStr"/>
    </row>
    <row r="74">
      <c r="A74" s="2" t="inlineStr">
        <is>
          <t>ES-01</t>
        </is>
      </c>
      <c r="B74" s="3" t="inlineStr">
        <is>
          <t>E-Signature</t>
        </is>
      </c>
      <c r="C74" s="4" t="inlineStr">
        <is>
          <t>Kirim permintaan</t>
        </is>
      </c>
      <c r="D74" s="4" t="inlineStr">
        <is>
          <t>Klik Request Signature pada kontrak.</t>
        </is>
      </c>
      <c r="E74" s="4" t="inlineStr">
        <is>
          <t>Status=Sent; sequence terbuat; email/log tercatat.</t>
        </is>
      </c>
      <c r="F74" s="2" t="inlineStr">
        <is>
          <t>Medium</t>
        </is>
      </c>
      <c r="G74" s="2" t="inlineStr">
        <is>
          <t>Not Run</t>
        </is>
      </c>
      <c r="H74" s="3" t="inlineStr"/>
      <c r="I74" s="2" t="inlineStr"/>
      <c r="J74" s="4" t="inlineStr"/>
    </row>
    <row r="75">
      <c r="A75" s="5" t="inlineStr">
        <is>
          <t>ES-02</t>
        </is>
      </c>
      <c r="B75" s="6" t="inlineStr">
        <is>
          <t>E-Signature</t>
        </is>
      </c>
      <c r="C75" s="7" t="inlineStr">
        <is>
          <t>Tandai signed</t>
        </is>
      </c>
      <c r="D75" s="7" t="inlineStr">
        <is>
          <t>Klik Mark Signed.</t>
        </is>
      </c>
      <c r="E75" s="7" t="inlineStr">
        <is>
          <t>Status=Signed; tanggal tanda tangan tersimpan.</t>
        </is>
      </c>
      <c r="F75" s="5" t="inlineStr">
        <is>
          <t>Low</t>
        </is>
      </c>
      <c r="G75" s="5" t="inlineStr">
        <is>
          <t>Not Run</t>
        </is>
      </c>
      <c r="H75" s="6" t="inlineStr"/>
      <c r="I75" s="5" t="inlineStr"/>
      <c r="J75" s="7" t="inlineStr"/>
    </row>
    <row r="76">
      <c r="A76" s="2" t="inlineStr">
        <is>
          <t>E2E-1</t>
        </is>
      </c>
      <c r="B76" s="3" t="inlineStr">
        <is>
          <t>End-to-End</t>
        </is>
      </c>
      <c r="C76" s="4" t="inlineStr">
        <is>
          <t>Onboarding tenant</t>
        </is>
      </c>
      <c r="D76" s="4" t="inlineStr">
        <is>
          <t>Lead → Create Lease Contract → aktifkan → Handover Move-in → Guarantee.</t>
        </is>
      </c>
      <c r="E76" s="4" t="inlineStr">
        <is>
          <t>Kontrak aktif; handover selesai; jaminan Active; tenant bisa login portal.</t>
        </is>
      </c>
      <c r="F76" s="2" t="inlineStr">
        <is>
          <t>High</t>
        </is>
      </c>
      <c r="G76" s="2" t="inlineStr">
        <is>
          <t>Not Run</t>
        </is>
      </c>
      <c r="H76" s="3" t="inlineStr"/>
      <c r="I76" s="2" t="inlineStr"/>
      <c r="J76" s="4" t="inlineStr"/>
    </row>
    <row r="77">
      <c r="A77" s="5" t="inlineStr">
        <is>
          <t>E2E-2</t>
        </is>
      </c>
      <c r="B77" s="6" t="inlineStr">
        <is>
          <t>End-to-End</t>
        </is>
      </c>
      <c r="C77" s="7" t="inlineStr">
        <is>
          <t>Billing bulanan</t>
        </is>
      </c>
      <c r="D77" s="7" t="inlineStr">
        <is>
          <t>Invoice sewa + Meter recharge + GTO turnover diposting.</t>
        </is>
      </c>
      <c r="E77" s="7" t="inlineStr">
        <is>
          <t>Semua pendapatan ber-link properti &amp; analytic; muncul di Owners Statement.</t>
        </is>
      </c>
      <c r="F77" s="5" t="inlineStr">
        <is>
          <t>High</t>
        </is>
      </c>
      <c r="G77" s="5" t="inlineStr">
        <is>
          <t>Not Run</t>
        </is>
      </c>
      <c r="H77" s="6" t="inlineStr"/>
      <c r="I77" s="5" t="inlineStr"/>
      <c r="J77" s="7" t="inlineStr"/>
    </row>
    <row r="78">
      <c r="A78" s="2" t="inlineStr">
        <is>
          <t>E2E-3</t>
        </is>
      </c>
      <c r="B78" s="3" t="inlineStr">
        <is>
          <t>End-to-End</t>
        </is>
      </c>
      <c r="C78" s="4" t="inlineStr">
        <is>
          <t>Pengeluaran</t>
        </is>
      </c>
      <c r="D78" s="4" t="inlineStr">
        <is>
          <t>Maintenance → Create PO → terima → vendor bill posted.</t>
        </is>
      </c>
      <c r="E78" s="4" t="inlineStr">
        <is>
          <t>Beban masuk Payment Details &amp; analytic properti.</t>
        </is>
      </c>
      <c r="F78" s="2" t="inlineStr">
        <is>
          <t>High</t>
        </is>
      </c>
      <c r="G78" s="2" t="inlineStr">
        <is>
          <t>Not Run</t>
        </is>
      </c>
      <c r="H78" s="3" t="inlineStr"/>
      <c r="I78" s="2" t="inlineStr"/>
      <c r="J78" s="4" t="inlineStr"/>
    </row>
    <row r="79">
      <c r="A79" s="5" t="inlineStr">
        <is>
          <t>E2E-4</t>
        </is>
      </c>
      <c r="B79" s="6" t="inlineStr">
        <is>
          <t>End-to-End</t>
        </is>
      </c>
      <c r="C79" s="7" t="inlineStr">
        <is>
          <t>Tutup periode</t>
        </is>
      </c>
      <c r="D79" s="7" t="inlineStr">
        <is>
          <t>Cetak Owners Statement; Owner Remittance; ekspor CORETAX Faktur PK.</t>
        </is>
      </c>
      <c r="E79" s="7" t="inlineStr">
        <is>
          <t>Laporan konsisten; remittance terposting; XML e-Faktur terunduh.</t>
        </is>
      </c>
      <c r="F79" s="5" t="inlineStr">
        <is>
          <t>High</t>
        </is>
      </c>
      <c r="G79" s="5" t="inlineStr">
        <is>
          <t>Not Run</t>
        </is>
      </c>
      <c r="H79" s="6" t="inlineStr"/>
      <c r="I79" s="5" t="inlineStr"/>
      <c r="J79" s="7" t="inlineStr"/>
    </row>
    <row r="80">
      <c r="A80" s="2" t="inlineStr">
        <is>
          <t>E2E-5</t>
        </is>
      </c>
      <c r="B80" s="3" t="inlineStr">
        <is>
          <t>End-to-End</t>
        </is>
      </c>
      <c r="C80" s="4" t="inlineStr">
        <is>
          <t>Move-out</t>
        </is>
      </c>
      <c r="D80" s="4" t="inlineStr">
        <is>
          <t>Handover Move-out + make-good; Security Deposit refund; kontrak ditutup.</t>
        </is>
      </c>
      <c r="E80" s="4" t="inlineStr">
        <is>
          <t>Deposit terselesaikan; Sec Dep Bal nol; kontrak closed.</t>
        </is>
      </c>
      <c r="F80" s="2" t="inlineStr">
        <is>
          <t>Medium</t>
        </is>
      </c>
      <c r="G80" s="2" t="inlineStr">
        <is>
          <t>Not Run</t>
        </is>
      </c>
      <c r="H80" s="3" t="inlineStr"/>
      <c r="I80" s="2" t="inlineStr"/>
      <c r="J80" s="4" t="inlineStr"/>
    </row>
  </sheetData>
  <autoFilter ref="A1:J1"/>
  <conditionalFormatting sqref="G2:G8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2">
    <dataValidation sqref="G2:G80" showDropDown="0" showInputMessage="0" showErrorMessage="0" allowBlank="1" type="list">
      <formula1>"Not Run,Pass,Fail,Blocked,N/A"</formula1>
    </dataValidation>
    <dataValidation sqref="F2:F8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8" t="inlineStr">
        <is>
          <t>UAT SUMMARY</t>
        </is>
      </c>
    </row>
    <row r="3">
      <c r="A3" s="9" t="inlineStr">
        <is>
          <t>Total Test Cases</t>
        </is>
      </c>
      <c r="B3" s="10">
        <f>COUNTA('Test Cases'!A2:A80)</f>
        <v/>
      </c>
    </row>
    <row r="4">
      <c r="A4" s="9" t="inlineStr">
        <is>
          <t>Pass</t>
        </is>
      </c>
      <c r="B4" s="10">
        <f>COUNTIF('Test Cases'!G2:G80,"Pass")</f>
        <v/>
      </c>
    </row>
    <row r="5">
      <c r="A5" s="9" t="inlineStr">
        <is>
          <t>Fail</t>
        </is>
      </c>
      <c r="B5" s="10">
        <f>COUNTIF('Test Cases'!G2:G80,"Fail")</f>
        <v/>
      </c>
    </row>
    <row r="6">
      <c r="A6" s="9" t="inlineStr">
        <is>
          <t>Blocked</t>
        </is>
      </c>
      <c r="B6" s="10">
        <f>COUNTIF('Test Cases'!G2:G80,"Blocked")</f>
        <v/>
      </c>
    </row>
    <row r="7">
      <c r="A7" s="9" t="inlineStr">
        <is>
          <t>N/A</t>
        </is>
      </c>
      <c r="B7" s="10">
        <f>COUNTIF('Test Cases'!G2:G80,"N/A")</f>
        <v/>
      </c>
    </row>
    <row r="8">
      <c r="A8" s="9" t="inlineStr">
        <is>
          <t>Not Run</t>
        </is>
      </c>
      <c r="B8" s="10">
        <f>COUNTIF('Test Cases'!G2:G80,"Not Run")</f>
        <v/>
      </c>
    </row>
    <row r="9">
      <c r="A9" s="9" t="inlineStr">
        <is>
          <t>% Pass</t>
        </is>
      </c>
      <c r="B9" s="11">
        <f>IF(B3+B4=0,0,B3/(B3+B4))</f>
        <v/>
      </c>
    </row>
    <row r="11">
      <c r="A11" s="12" t="inlineStr">
        <is>
          <t>Per Modul</t>
        </is>
      </c>
    </row>
    <row r="12">
      <c r="A12" s="13" t="inlineStr">
        <is>
          <t>Modul</t>
        </is>
      </c>
      <c r="B12" s="13" t="inlineStr">
        <is>
          <t>Total</t>
        </is>
      </c>
      <c r="C12" s="13" t="inlineStr">
        <is>
          <t>Pass</t>
        </is>
      </c>
      <c r="D12" s="13" t="inlineStr">
        <is>
          <t>Fail</t>
        </is>
      </c>
      <c r="E12" s="13" t="inlineStr">
        <is>
          <t>Not Run</t>
        </is>
      </c>
    </row>
    <row r="13">
      <c r="A13" s="14" t="inlineStr">
        <is>
          <t>Financial Report</t>
        </is>
      </c>
      <c r="B13" s="10">
        <f>COUNTIF('Test Cases'!B2:B80,A13)</f>
        <v/>
      </c>
      <c r="C13" s="10">
        <f>COUNTIFS('Test Cases'!B2:B80,A13,'Test Cases'!G2:G80,"Pass")</f>
        <v/>
      </c>
      <c r="D13" s="10">
        <f>COUNTIFS('Test Cases'!B2:B80,A13,'Test Cases'!G2:G80,"Fail")</f>
        <v/>
      </c>
      <c r="E13" s="10">
        <f>COUNTIFS('Test Cases'!B2:B80,A13,'Test Cases'!G2:G80,"Not Run")</f>
        <v/>
      </c>
    </row>
    <row r="14">
      <c r="A14" s="14" t="inlineStr">
        <is>
          <t>GTO &amp; Meter</t>
        </is>
      </c>
      <c r="B14" s="10">
        <f>COUNTIF('Test Cases'!B2:B80,A14)</f>
        <v/>
      </c>
      <c r="C14" s="10">
        <f>COUNTIFS('Test Cases'!B2:B80,A14,'Test Cases'!G2:G80,"Pass")</f>
        <v/>
      </c>
      <c r="D14" s="10">
        <f>COUNTIFS('Test Cases'!B2:B80,A14,'Test Cases'!G2:G80,"Fail")</f>
        <v/>
      </c>
      <c r="E14" s="10">
        <f>COUNTIFS('Test Cases'!B2:B80,A14,'Test Cases'!G2:G80,"Not Run")</f>
        <v/>
      </c>
    </row>
    <row r="15">
      <c r="A15" s="14" t="inlineStr">
        <is>
          <t>Guarantee</t>
        </is>
      </c>
      <c r="B15" s="10">
        <f>COUNTIF('Test Cases'!B2:B80,A15)</f>
        <v/>
      </c>
      <c r="C15" s="10">
        <f>COUNTIFS('Test Cases'!B2:B80,A15,'Test Cases'!G2:G80,"Pass")</f>
        <v/>
      </c>
      <c r="D15" s="10">
        <f>COUNTIFS('Test Cases'!B2:B80,A15,'Test Cases'!G2:G80,"Fail")</f>
        <v/>
      </c>
      <c r="E15" s="10">
        <f>COUNTIFS('Test Cases'!B2:B80,A15,'Test Cases'!G2:G80,"Not Run")</f>
        <v/>
      </c>
    </row>
    <row r="16">
      <c r="A16" s="14" t="inlineStr">
        <is>
          <t>Casual Leasing</t>
        </is>
      </c>
      <c r="B16" s="10">
        <f>COUNTIF('Test Cases'!B2:B80,A16)</f>
        <v/>
      </c>
      <c r="C16" s="10">
        <f>COUNTIFS('Test Cases'!B2:B80,A16,'Test Cases'!G2:G80,"Pass")</f>
        <v/>
      </c>
      <c r="D16" s="10">
        <f>COUNTIFS('Test Cases'!B2:B80,A16,'Test Cases'!G2:G80,"Fail")</f>
        <v/>
      </c>
      <c r="E16" s="10">
        <f>COUNTIFS('Test Cases'!B2:B80,A16,'Test Cases'!G2:G80,"Not Run")</f>
        <v/>
      </c>
    </row>
    <row r="17">
      <c r="A17" s="14" t="inlineStr">
        <is>
          <t>Handover</t>
        </is>
      </c>
      <c r="B17" s="10">
        <f>COUNTIF('Test Cases'!B2:B80,A17)</f>
        <v/>
      </c>
      <c r="C17" s="10">
        <f>COUNTIFS('Test Cases'!B2:B80,A17,'Test Cases'!G2:G80,"Pass")</f>
        <v/>
      </c>
      <c r="D17" s="10">
        <f>COUNTIFS('Test Cases'!B2:B80,A17,'Test Cases'!G2:G80,"Fail")</f>
        <v/>
      </c>
      <c r="E17" s="10">
        <f>COUNTIFS('Test Cases'!B2:B80,A17,'Test Cases'!G2:G80,"Not Run")</f>
        <v/>
      </c>
    </row>
    <row r="18">
      <c r="A18" s="14" t="inlineStr">
        <is>
          <t>Tenant Portal</t>
        </is>
      </c>
      <c r="B18" s="10">
        <f>COUNTIF('Test Cases'!B2:B80,A18)</f>
        <v/>
      </c>
      <c r="C18" s="10">
        <f>COUNTIFS('Test Cases'!B2:B80,A18,'Test Cases'!G2:G80,"Pass")</f>
        <v/>
      </c>
      <c r="D18" s="10">
        <f>COUNTIFS('Test Cases'!B2:B80,A18,'Test Cases'!G2:G80,"Fail")</f>
        <v/>
      </c>
      <c r="E18" s="10">
        <f>COUNTIFS('Test Cases'!B2:B80,A18,'Test Cases'!G2:G80,"Not Run")</f>
        <v/>
      </c>
    </row>
    <row r="19">
      <c r="A19" s="14" t="inlineStr">
        <is>
          <t>CORETAX</t>
        </is>
      </c>
      <c r="B19" s="10">
        <f>COUNTIF('Test Cases'!B2:B80,A19)</f>
        <v/>
      </c>
      <c r="C19" s="10">
        <f>COUNTIFS('Test Cases'!B2:B80,A19,'Test Cases'!G2:G80,"Pass")</f>
        <v/>
      </c>
      <c r="D19" s="10">
        <f>COUNTIFS('Test Cases'!B2:B80,A19,'Test Cases'!G2:G80,"Fail")</f>
        <v/>
      </c>
      <c r="E19" s="10">
        <f>COUNTIFS('Test Cases'!B2:B80,A19,'Test Cases'!G2:G80,"Not Run")</f>
        <v/>
      </c>
    </row>
    <row r="20">
      <c r="A20" s="14" t="inlineStr">
        <is>
          <t>Purchase</t>
        </is>
      </c>
      <c r="B20" s="10">
        <f>COUNTIF('Test Cases'!B2:B80,A20)</f>
        <v/>
      </c>
      <c r="C20" s="10">
        <f>COUNTIFS('Test Cases'!B2:B80,A20,'Test Cases'!G2:G80,"Pass")</f>
        <v/>
      </c>
      <c r="D20" s="10">
        <f>COUNTIFS('Test Cases'!B2:B80,A20,'Test Cases'!G2:G80,"Fail")</f>
        <v/>
      </c>
      <c r="E20" s="10">
        <f>COUNTIFS('Test Cases'!B2:B80,A20,'Test Cases'!G2:G80,"Not Run")</f>
        <v/>
      </c>
    </row>
    <row r="21">
      <c r="A21" s="14" t="inlineStr">
        <is>
          <t>CRM</t>
        </is>
      </c>
      <c r="B21" s="10">
        <f>COUNTIF('Test Cases'!B2:B80,A21)</f>
        <v/>
      </c>
      <c r="C21" s="10">
        <f>COUNTIFS('Test Cases'!B2:B80,A21,'Test Cases'!G2:G80,"Pass")</f>
        <v/>
      </c>
      <c r="D21" s="10">
        <f>COUNTIFS('Test Cases'!B2:B80,A21,'Test Cases'!G2:G80,"Fail")</f>
        <v/>
      </c>
      <c r="E21" s="10">
        <f>COUNTIFS('Test Cases'!B2:B80,A21,'Test Cases'!G2:G80,"Not Run")</f>
        <v/>
      </c>
    </row>
    <row r="22">
      <c r="A22" s="14" t="inlineStr">
        <is>
          <t>Project (Fit-out)</t>
        </is>
      </c>
      <c r="B22" s="10">
        <f>COUNTIF('Test Cases'!B2:B80,A22)</f>
        <v/>
      </c>
      <c r="C22" s="10">
        <f>COUNTIFS('Test Cases'!B2:B80,A22,'Test Cases'!G2:G80,"Pass")</f>
        <v/>
      </c>
      <c r="D22" s="10">
        <f>COUNTIFS('Test Cases'!B2:B80,A22,'Test Cases'!G2:G80,"Fail")</f>
        <v/>
      </c>
      <c r="E22" s="10">
        <f>COUNTIFS('Test Cases'!B2:B80,A22,'Test Cases'!G2:G80,"Not Run")</f>
        <v/>
      </c>
    </row>
    <row r="23">
      <c r="A23" s="14" t="inlineStr">
        <is>
          <t>Documents</t>
        </is>
      </c>
      <c r="B23" s="10">
        <f>COUNTIF('Test Cases'!B2:B80,A23)</f>
        <v/>
      </c>
      <c r="C23" s="10">
        <f>COUNTIFS('Test Cases'!B2:B80,A23,'Test Cases'!G2:G80,"Pass")</f>
        <v/>
      </c>
      <c r="D23" s="10">
        <f>COUNTIFS('Test Cases'!B2:B80,A23,'Test Cases'!G2:G80,"Fail")</f>
        <v/>
      </c>
      <c r="E23" s="10">
        <f>COUNTIFS('Test Cases'!B2:B80,A23,'Test Cases'!G2:G80,"Not Run")</f>
        <v/>
      </c>
    </row>
    <row r="24">
      <c r="A24" s="14" t="inlineStr">
        <is>
          <t>Fixed Assets</t>
        </is>
      </c>
      <c r="B24" s="10">
        <f>COUNTIF('Test Cases'!B2:B80,A24)</f>
        <v/>
      </c>
      <c r="C24" s="10">
        <f>COUNTIFS('Test Cases'!B2:B80,A24,'Test Cases'!G2:G80,"Pass")</f>
        <v/>
      </c>
      <c r="D24" s="10">
        <f>COUNTIFS('Test Cases'!B2:B80,A24,'Test Cases'!G2:G80,"Fail")</f>
        <v/>
      </c>
      <c r="E24" s="10">
        <f>COUNTIFS('Test Cases'!B2:B80,A24,'Test Cases'!G2:G80,"Not Run")</f>
        <v/>
      </c>
    </row>
    <row r="25">
      <c r="A25" s="14" t="inlineStr">
        <is>
          <t>Documents CE</t>
        </is>
      </c>
      <c r="B25" s="10">
        <f>COUNTIF('Test Cases'!B2:B80,A25)</f>
        <v/>
      </c>
      <c r="C25" s="10">
        <f>COUNTIFS('Test Cases'!B2:B80,A25,'Test Cases'!G2:G80,"Pass")</f>
        <v/>
      </c>
      <c r="D25" s="10">
        <f>COUNTIFS('Test Cases'!B2:B80,A25,'Test Cases'!G2:G80,"Fail")</f>
        <v/>
      </c>
      <c r="E25" s="10">
        <f>COUNTIFS('Test Cases'!B2:B80,A25,'Test Cases'!G2:G80,"Not Run")</f>
        <v/>
      </c>
    </row>
    <row r="26">
      <c r="A26" s="14" t="inlineStr">
        <is>
          <t>Owner Portal</t>
        </is>
      </c>
      <c r="B26" s="10">
        <f>COUNTIF('Test Cases'!B2:B80,A26)</f>
        <v/>
      </c>
      <c r="C26" s="10">
        <f>COUNTIFS('Test Cases'!B2:B80,A26,'Test Cases'!G2:G80,"Pass")</f>
        <v/>
      </c>
      <c r="D26" s="10">
        <f>COUNTIFS('Test Cases'!B2:B80,A26,'Test Cases'!G2:G80,"Fail")</f>
        <v/>
      </c>
      <c r="E26" s="10">
        <f>COUNTIFS('Test Cases'!B2:B80,A26,'Test Cases'!G2:G80,"Not Run")</f>
        <v/>
      </c>
    </row>
    <row r="27">
      <c r="A27" s="14" t="inlineStr">
        <is>
          <t>CAM / Service Charge</t>
        </is>
      </c>
      <c r="B27" s="10">
        <f>COUNTIF('Test Cases'!B2:B80,A27)</f>
        <v/>
      </c>
      <c r="C27" s="10">
        <f>COUNTIFS('Test Cases'!B2:B80,A27,'Test Cases'!G2:G80,"Pass")</f>
        <v/>
      </c>
      <c r="D27" s="10">
        <f>COUNTIFS('Test Cases'!B2:B80,A27,'Test Cases'!G2:G80,"Fail")</f>
        <v/>
      </c>
      <c r="E27" s="10">
        <f>COUNTIFS('Test Cases'!B2:B80,A27,'Test Cases'!G2:G80,"Not Run")</f>
        <v/>
      </c>
    </row>
    <row r="28">
      <c r="A28" s="14" t="inlineStr">
        <is>
          <t>Rent Escalation</t>
        </is>
      </c>
      <c r="B28" s="10">
        <f>COUNTIF('Test Cases'!B2:B80,A28)</f>
        <v/>
      </c>
      <c r="C28" s="10">
        <f>COUNTIFS('Test Cases'!B2:B80,A28,'Test Cases'!G2:G80,"Pass")</f>
        <v/>
      </c>
      <c r="D28" s="10">
        <f>COUNTIFS('Test Cases'!B2:B80,A28,'Test Cases'!G2:G80,"Fail")</f>
        <v/>
      </c>
      <c r="E28" s="10">
        <f>COUNTIFS('Test Cases'!B2:B80,A28,'Test Cases'!G2:G80,"Not Run")</f>
        <v/>
      </c>
    </row>
    <row r="29">
      <c r="A29" s="14" t="inlineStr">
        <is>
          <t>KPI Dashboard</t>
        </is>
      </c>
      <c r="B29" s="10">
        <f>COUNTIF('Test Cases'!B2:B80,A29)</f>
        <v/>
      </c>
      <c r="C29" s="10">
        <f>COUNTIFS('Test Cases'!B2:B80,A29,'Test Cases'!G2:G80,"Pass")</f>
        <v/>
      </c>
      <c r="D29" s="10">
        <f>COUNTIFS('Test Cases'!B2:B80,A29,'Test Cases'!G2:G80,"Fail")</f>
        <v/>
      </c>
      <c r="E29" s="10">
        <f>COUNTIFS('Test Cases'!B2:B80,A29,'Test Cases'!G2:G80,"Not Run")</f>
        <v/>
      </c>
    </row>
    <row r="30">
      <c r="A30" s="14" t="inlineStr">
        <is>
          <t>Dunning</t>
        </is>
      </c>
      <c r="B30" s="10">
        <f>COUNTIF('Test Cases'!B2:B80,A30)</f>
        <v/>
      </c>
      <c r="C30" s="10">
        <f>COUNTIFS('Test Cases'!B2:B80,A30,'Test Cases'!G2:G80,"Pass")</f>
        <v/>
      </c>
      <c r="D30" s="10">
        <f>COUNTIFS('Test Cases'!B2:B80,A30,'Test Cases'!G2:G80,"Fail")</f>
        <v/>
      </c>
      <c r="E30" s="10">
        <f>COUNTIFS('Test Cases'!B2:B80,A30,'Test Cases'!G2:G80,"Not Run")</f>
        <v/>
      </c>
    </row>
    <row r="31">
      <c r="A31" s="14" t="inlineStr">
        <is>
          <t>Insurance</t>
        </is>
      </c>
      <c r="B31" s="10">
        <f>COUNTIF('Test Cases'!B2:B80,A31)</f>
        <v/>
      </c>
      <c r="C31" s="10">
        <f>COUNTIFS('Test Cases'!B2:B80,A31,'Test Cases'!G2:G80,"Pass")</f>
        <v/>
      </c>
      <c r="D31" s="10">
        <f>COUNTIFS('Test Cases'!B2:B80,A31,'Test Cases'!G2:G80,"Fail")</f>
        <v/>
      </c>
      <c r="E31" s="10">
        <f>COUNTIFS('Test Cases'!B2:B80,A31,'Test Cases'!G2:G80,"Not Run")</f>
        <v/>
      </c>
    </row>
    <row r="32">
      <c r="A32" s="14" t="inlineStr">
        <is>
          <t>Lease Expiry</t>
        </is>
      </c>
      <c r="B32" s="10">
        <f>COUNTIF('Test Cases'!B2:B80,A32)</f>
        <v/>
      </c>
      <c r="C32" s="10">
        <f>COUNTIFS('Test Cases'!B2:B80,A32,'Test Cases'!G2:G80,"Pass")</f>
        <v/>
      </c>
      <c r="D32" s="10">
        <f>COUNTIFS('Test Cases'!B2:B80,A32,'Test Cases'!G2:G80,"Fail")</f>
        <v/>
      </c>
      <c r="E32" s="10">
        <f>COUNTIFS('Test Cases'!B2:B80,A32,'Test Cases'!G2:G80,"Not Run")</f>
        <v/>
      </c>
    </row>
    <row r="33">
      <c r="A33" s="14" t="inlineStr">
        <is>
          <t>Vacancy</t>
        </is>
      </c>
      <c r="B33" s="10">
        <f>COUNTIF('Test Cases'!B2:B80,A33)</f>
        <v/>
      </c>
      <c r="C33" s="10">
        <f>COUNTIFS('Test Cases'!B2:B80,A33,'Test Cases'!G2:G80,"Pass")</f>
        <v/>
      </c>
      <c r="D33" s="10">
        <f>COUNTIFS('Test Cases'!B2:B80,A33,'Test Cases'!G2:G80,"Fail")</f>
        <v/>
      </c>
      <c r="E33" s="10">
        <f>COUNTIFS('Test Cases'!B2:B80,A33,'Test Cases'!G2:G80,"Not Run")</f>
        <v/>
      </c>
    </row>
    <row r="34">
      <c r="A34" s="14" t="inlineStr">
        <is>
          <t>PPM</t>
        </is>
      </c>
      <c r="B34" s="10">
        <f>COUNTIF('Test Cases'!B2:B80,A34)</f>
        <v/>
      </c>
      <c r="C34" s="10">
        <f>COUNTIFS('Test Cases'!B2:B80,A34,'Test Cases'!G2:G80,"Pass")</f>
        <v/>
      </c>
      <c r="D34" s="10">
        <f>COUNTIFS('Test Cases'!B2:B80,A34,'Test Cases'!G2:G80,"Fail")</f>
        <v/>
      </c>
      <c r="E34" s="10">
        <f>COUNTIFS('Test Cases'!B2:B80,A34,'Test Cases'!G2:G80,"Not Run")</f>
        <v/>
      </c>
    </row>
    <row r="35">
      <c r="A35" s="14" t="inlineStr">
        <is>
          <t>Parking</t>
        </is>
      </c>
      <c r="B35" s="10">
        <f>COUNTIF('Test Cases'!B2:B80,A35)</f>
        <v/>
      </c>
      <c r="C35" s="10">
        <f>COUNTIFS('Test Cases'!B2:B80,A35,'Test Cases'!G2:G80,"Pass")</f>
        <v/>
      </c>
      <c r="D35" s="10">
        <f>COUNTIFS('Test Cases'!B2:B80,A35,'Test Cases'!G2:G80,"Fail")</f>
        <v/>
      </c>
      <c r="E35" s="10">
        <f>COUNTIFS('Test Cases'!B2:B80,A35,'Test Cases'!G2:G80,"Not Run")</f>
        <v/>
      </c>
    </row>
    <row r="36">
      <c r="A36" s="14" t="inlineStr">
        <is>
          <t>Valuation</t>
        </is>
      </c>
      <c r="B36" s="10">
        <f>COUNTIF('Test Cases'!B2:B80,A36)</f>
        <v/>
      </c>
      <c r="C36" s="10">
        <f>COUNTIFS('Test Cases'!B2:B80,A36,'Test Cases'!G2:G80,"Pass")</f>
        <v/>
      </c>
      <c r="D36" s="10">
        <f>COUNTIFS('Test Cases'!B2:B80,A36,'Test Cases'!G2:G80,"Fail")</f>
        <v/>
      </c>
      <c r="E36" s="10">
        <f>COUNTIFS('Test Cases'!B2:B80,A36,'Test Cases'!G2:G80,"Not Run")</f>
        <v/>
      </c>
    </row>
    <row r="37">
      <c r="A37" s="14" t="inlineStr">
        <is>
          <t>Access</t>
        </is>
      </c>
      <c r="B37" s="10">
        <f>COUNTIF('Test Cases'!B2:B80,A37)</f>
        <v/>
      </c>
      <c r="C37" s="10">
        <f>COUNTIFS('Test Cases'!B2:B80,A37,'Test Cases'!G2:G80,"Pass")</f>
        <v/>
      </c>
      <c r="D37" s="10">
        <f>COUNTIFS('Test Cases'!B2:B80,A37,'Test Cases'!G2:G80,"Fail")</f>
        <v/>
      </c>
      <c r="E37" s="10">
        <f>COUNTIFS('Test Cases'!B2:B80,A37,'Test Cases'!G2:G80,"Not Run")</f>
        <v/>
      </c>
    </row>
    <row r="38">
      <c r="A38" s="14" t="inlineStr">
        <is>
          <t>E-Signature</t>
        </is>
      </c>
      <c r="B38" s="10">
        <f>COUNTIF('Test Cases'!B2:B80,A38)</f>
        <v/>
      </c>
      <c r="C38" s="10">
        <f>COUNTIFS('Test Cases'!B2:B80,A38,'Test Cases'!G2:G80,"Pass")</f>
        <v/>
      </c>
      <c r="D38" s="10">
        <f>COUNTIFS('Test Cases'!B2:B80,A38,'Test Cases'!G2:G80,"Fail")</f>
        <v/>
      </c>
      <c r="E38" s="10">
        <f>COUNTIFS('Test Cases'!B2:B80,A38,'Test Cases'!G2:G80,"Not Run")</f>
        <v/>
      </c>
    </row>
    <row r="39">
      <c r="A39" s="14" t="inlineStr">
        <is>
          <t>End-to-End</t>
        </is>
      </c>
      <c r="B39" s="10">
        <f>COUNTIF('Test Cases'!B2:B80,A39)</f>
        <v/>
      </c>
      <c r="C39" s="10">
        <f>COUNTIFS('Test Cases'!B2:B80,A39,'Test Cases'!G2:G80,"Pass")</f>
        <v/>
      </c>
      <c r="D39" s="10">
        <f>COUNTIFS('Test Cases'!B2:B80,A39,'Test Cases'!G2:G80,"Fail")</f>
        <v/>
      </c>
      <c r="E39" s="10">
        <f>COUNTIFS('Test Cases'!B2:B80,A39,'Test Cases'!G2:G80,"Not Run")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8" t="inlineStr">
        <is>
          <t>UAT SIGN-OFF</t>
        </is>
      </c>
    </row>
    <row r="3">
      <c r="A3" s="9" t="inlineStr">
        <is>
          <t>Project</t>
        </is>
      </c>
      <c r="B3" s="14" t="inlineStr">
        <is>
          <t>Kustomisasi Property Management Odoo 19 (rental_management companions)</t>
        </is>
      </c>
    </row>
    <row r="4">
      <c r="A4" s="9" t="inlineStr">
        <is>
          <t>Versi Modul</t>
        </is>
      </c>
      <c r="B4" s="14" t="inlineStr">
        <is>
          <t>19.0.1.0.0</t>
        </is>
      </c>
    </row>
    <row r="5">
      <c r="A5" s="9" t="inlineStr">
        <is>
          <t>Environment</t>
        </is>
      </c>
      <c r="B5" s="14" t="inlineStr">
        <is>
          <t>Staging Odoo 19</t>
        </is>
      </c>
    </row>
    <row r="6">
      <c r="A6" s="9" t="inlineStr">
        <is>
          <t>Tanggal Mulai UAT</t>
        </is>
      </c>
      <c r="B6" s="14" t="inlineStr"/>
    </row>
    <row r="7">
      <c r="A7" s="9" t="inlineStr">
        <is>
          <t>Tanggal Selesai UAT</t>
        </is>
      </c>
      <c r="B7" s="14" t="inlineStr"/>
    </row>
    <row r="8">
      <c r="A8" s="9" t="inlineStr">
        <is>
          <t>Diuji oleh (Key User)</t>
        </is>
      </c>
      <c r="B8" s="14" t="inlineStr"/>
    </row>
    <row r="9">
      <c r="A9" s="9" t="inlineStr">
        <is>
          <t>Disetujui oleh (PM/SME)</t>
        </is>
      </c>
      <c r="B9" s="14" t="inlineStr"/>
    </row>
    <row r="10">
      <c r="A10" s="9" t="inlineStr">
        <is>
          <t>Catatan</t>
        </is>
      </c>
      <c r="B10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2026-06-20T00:55:47Z</dcterms:created>
  <dcterms:modified xmlns:dcterms="http://purl.org/dc/terms/" xmlns:xsi="http://www.w3.org/2001/XMLSchema-instance" xsi:type="dcterms:W3CDTF">2026-06-20T00:55:47Z</dcterms:modified>
</cp:coreProperties>
</file>