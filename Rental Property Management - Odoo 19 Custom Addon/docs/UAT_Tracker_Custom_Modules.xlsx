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AS-01</t>
        </is>
      </c>
      <c r="B40" s="3" t="inlineStr">
        <is>
          <t>Fixed Assets</t>
        </is>
      </c>
      <c r="C40" s="4" t="inlineStr">
        <is>
          <t>Board garis lurus</t>
        </is>
      </c>
      <c r="D40" s="4" t="inlineStr">
        <is>
          <t>Aset 10jt, salvage 0, linear, jumlah=5, periode=12. Compute Depreciation.</t>
        </is>
      </c>
      <c r="E40" s="4" t="inlineStr">
        <is>
          <t>5 baris @ 2jt; akumulasi akhir=10jt; remaining akhir=0.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AS-02</t>
        </is>
      </c>
      <c r="B41" s="6" t="inlineStr">
        <is>
          <t>Fixed Assets</t>
        </is>
      </c>
      <c r="C41" s="7" t="inlineStr">
        <is>
          <t>Posting penyusutan</t>
        </is>
      </c>
      <c r="D41" s="7" t="inlineStr">
        <is>
          <t>Confirm; tanggal baris ≤ hari ini; Post Due Depreciation.</t>
        </is>
      </c>
      <c r="E41" s="7" t="inlineStr">
        <is>
          <t>Jurnal Dr Beban/Cr Akumulasi posted; ber-tag properti (analytic).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AS-03</t>
        </is>
      </c>
      <c r="B42" s="3" t="inlineStr">
        <is>
          <t>Fixed Assets</t>
        </is>
      </c>
      <c r="C42" s="4" t="inlineStr">
        <is>
          <t>Saldo menurun</t>
        </is>
      </c>
      <c r="D42" s="4" t="inlineStr">
        <is>
          <t>Aset declining, factor=2, jumlah=5. Compute.</t>
        </is>
      </c>
      <c r="E42" s="4" t="inlineStr">
        <is>
          <t>Nominal menurun tiap periode; baris terakhir menutup ke salvage.</t>
        </is>
      </c>
      <c r="F42" s="2" t="inlineStr">
        <is>
          <t>Medium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AS-04</t>
        </is>
      </c>
      <c r="B43" s="6" t="inlineStr">
        <is>
          <t>Fixed Assets</t>
        </is>
      </c>
      <c r="C43" s="7" t="inlineStr">
        <is>
          <t>Revaluation naik</t>
        </is>
      </c>
      <c r="D43" s="7" t="inlineStr">
        <is>
          <t>Tambah revaluation +5jt → Post Revaluations.</t>
        </is>
      </c>
      <c r="E43" s="7" t="inlineStr">
        <is>
          <t>Jurnal Dr Aset/Cr Reserve 5jt; gross naik; board recompute.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AS-05</t>
        </is>
      </c>
      <c r="B44" s="3" t="inlineStr">
        <is>
          <t>Fixed Assets</t>
        </is>
      </c>
      <c r="C44" s="4" t="inlineStr">
        <is>
          <t>Revaluation turun</t>
        </is>
      </c>
      <c r="D44" s="4" t="inlineStr">
        <is>
          <t>Tambah revaluation −2jt → Post Revaluations.</t>
        </is>
      </c>
      <c r="E44" s="4" t="inlineStr">
        <is>
          <t>Jurnal Dr Reserve/Cr Aset 2jt; gross turun; board recompute.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  <row r="45">
      <c r="A45" s="5" t="inlineStr">
        <is>
          <t>AS-06</t>
        </is>
      </c>
      <c r="B45" s="6" t="inlineStr">
        <is>
          <t>Fixed Assets</t>
        </is>
      </c>
      <c r="C45" s="7" t="inlineStr">
        <is>
          <t>Sync CORETAX L9</t>
        </is>
      </c>
      <c r="D45" s="7" t="inlineStr">
        <is>
          <t>Klik Sync CORETAX L9 (coretax terpasang).</t>
        </is>
      </c>
      <c r="E45" s="7" t="inlineStr">
        <is>
          <t>Entri coretax.asset.depreciation terbuat dgn nilai perolehan &amp; penyusutan tahun berjalan.</t>
        </is>
      </c>
      <c r="F45" s="5" t="inlineStr">
        <is>
          <t>Low</t>
        </is>
      </c>
      <c r="G45" s="5" t="inlineStr">
        <is>
          <t>Not Run</t>
        </is>
      </c>
      <c r="H45" s="6" t="inlineStr"/>
      <c r="I45" s="5" t="inlineStr"/>
      <c r="J45" s="7" t="inlineStr"/>
    </row>
    <row r="46">
      <c r="A46" s="2" t="inlineStr">
        <is>
          <t>DC-01</t>
        </is>
      </c>
      <c r="B46" s="3" t="inlineStr">
        <is>
          <t>Documents CE</t>
        </is>
      </c>
      <c r="C46" s="4" t="inlineStr">
        <is>
          <t>Unggah lampiran</t>
        </is>
      </c>
      <c r="D46" s="4" t="inlineStr">
        <is>
          <t>Lampirkan 2 dokumen pada properti via tab Documents.</t>
        </is>
      </c>
      <c r="E46" s="4" t="inlineStr">
        <is>
          <t>documents_count=2; tersimpan sebagai ir.attachment milik properti.</t>
        </is>
      </c>
      <c r="F46" s="2" t="inlineStr">
        <is>
          <t>Low</t>
        </is>
      </c>
      <c r="G46" s="2" t="inlineStr">
        <is>
          <t>Not Run</t>
        </is>
      </c>
      <c r="H46" s="3" t="inlineStr"/>
      <c r="I46" s="2" t="inlineStr"/>
      <c r="J46" s="4" t="inlineStr"/>
    </row>
    <row r="47">
      <c r="A47" s="5" t="inlineStr">
        <is>
          <t>OP-01</t>
        </is>
      </c>
      <c r="B47" s="6" t="inlineStr">
        <is>
          <t>Owner Portal</t>
        </is>
      </c>
      <c r="C47" s="7" t="inlineStr">
        <is>
          <t>Akses pemilik</t>
        </is>
      </c>
      <c r="D47" s="7" t="inlineStr">
        <is>
          <t>Login sebagai owner portal yang memiliki properti.</t>
        </is>
      </c>
      <c r="E47" s="7" t="inlineStr">
        <is>
          <t>Daftar Properties hanya menampilkan properti miliknya.</t>
        </is>
      </c>
      <c r="F47" s="5" t="inlineStr">
        <is>
          <t>High</t>
        </is>
      </c>
      <c r="G47" s="5" t="inlineStr">
        <is>
          <t>Not Run</t>
        </is>
      </c>
      <c r="H47" s="6" t="inlineStr"/>
      <c r="I47" s="5" t="inlineStr"/>
      <c r="J47" s="7" t="inlineStr"/>
    </row>
    <row r="48">
      <c r="A48" s="2" t="inlineStr">
        <is>
          <t>OP-02</t>
        </is>
      </c>
      <c r="B48" s="3" t="inlineStr">
        <is>
          <t>Owner Portal</t>
        </is>
      </c>
      <c r="C48" s="4" t="inlineStr">
        <is>
          <t>Isolasi data</t>
        </is>
      </c>
      <c r="D48" s="4" t="inlineStr">
        <is>
          <t>Owner A coba akses properti owner B via id URL.</t>
        </is>
      </c>
      <c r="E48" s="4" t="inlineStr">
        <is>
          <t>Akses ditolak / diarahkan ke /my.</t>
        </is>
      </c>
      <c r="F48" s="2" t="inlineStr">
        <is>
          <t>High</t>
        </is>
      </c>
      <c r="G48" s="2" t="inlineStr">
        <is>
          <t>Not Run</t>
        </is>
      </c>
      <c r="H48" s="3" t="inlineStr"/>
      <c r="I48" s="2" t="inlineStr"/>
      <c r="J48" s="4" t="inlineStr"/>
    </row>
    <row r="49">
      <c r="A49" s="5" t="inlineStr">
        <is>
          <t>OP-03</t>
        </is>
      </c>
      <c r="B49" s="6" t="inlineStr">
        <is>
          <t>Owner Portal</t>
        </is>
      </c>
      <c r="C49" s="7" t="inlineStr">
        <is>
          <t>Lihat remittance</t>
        </is>
      </c>
      <c r="D49" s="7" t="inlineStr">
        <is>
          <t>Buka detail properti dengan remittance posted.</t>
        </is>
      </c>
      <c r="E49" s="7" t="inlineStr">
        <is>
          <t>Daftar remittance tampil dengan jumlah benar.</t>
        </is>
      </c>
      <c r="F49" s="5" t="inlineStr">
        <is>
          <t>Medium</t>
        </is>
      </c>
      <c r="G49" s="5" t="inlineStr">
        <is>
          <t>Not Run</t>
        </is>
      </c>
      <c r="H49" s="6" t="inlineStr"/>
      <c r="I49" s="5" t="inlineStr"/>
      <c r="J49" s="7" t="inlineStr"/>
    </row>
    <row r="50">
      <c r="A50" s="2" t="inlineStr">
        <is>
          <t>CM-01</t>
        </is>
      </c>
      <c r="B50" s="3" t="inlineStr">
        <is>
          <t>CAM / Service Charge</t>
        </is>
      </c>
      <c r="C50" s="4" t="inlineStr">
        <is>
          <t>Apportion per area</t>
        </is>
      </c>
      <c r="D50" s="4" t="inlineStr">
        <is>
          <t>Pool=120jt; 3 tenant area 100/200/300 m². Apportion.</t>
        </is>
      </c>
      <c r="E50" s="4" t="inlineStr">
        <is>
          <t>Alokasi 20/40/60 jt sesuai proporsi area.</t>
        </is>
      </c>
      <c r="F50" s="2" t="inlineStr">
        <is>
          <t>High</t>
        </is>
      </c>
      <c r="G50" s="2" t="inlineStr">
        <is>
          <t>Not Run</t>
        </is>
      </c>
      <c r="H50" s="3" t="inlineStr"/>
      <c r="I50" s="2" t="inlineStr"/>
      <c r="J50" s="4" t="inlineStr"/>
    </row>
    <row r="51">
      <c r="A51" s="5" t="inlineStr">
        <is>
          <t>CM-02</t>
        </is>
      </c>
      <c r="B51" s="6" t="inlineStr">
        <is>
          <t>CAM / Service Charge</t>
        </is>
      </c>
      <c r="C51" s="7" t="inlineStr">
        <is>
          <t>Invoice service charge</t>
        </is>
      </c>
      <c r="D51" s="7" t="inlineStr">
        <is>
          <t>Klik Create Invoices.</t>
        </is>
      </c>
      <c r="E51" s="7" t="inlineStr">
        <is>
          <t>out_invoice per tenant ber-link properti; muncul di Owners Statement &amp; analytic.</t>
        </is>
      </c>
      <c r="F51" s="5" t="inlineStr">
        <is>
          <t>High</t>
        </is>
      </c>
      <c r="G51" s="5" t="inlineStr">
        <is>
          <t>Not Run</t>
        </is>
      </c>
      <c r="H51" s="6" t="inlineStr"/>
      <c r="I51" s="5" t="inlineStr"/>
      <c r="J51" s="7" t="inlineStr"/>
    </row>
    <row r="52">
      <c r="A52" s="2" t="inlineStr">
        <is>
          <t>CM-03</t>
        </is>
      </c>
      <c r="B52" s="3" t="inlineStr">
        <is>
          <t>CAM / Service Charge</t>
        </is>
      </c>
      <c r="C52" s="4" t="inlineStr">
        <is>
          <t>Budget vs actual</t>
        </is>
      </c>
      <c r="D52" s="4" t="inlineStr">
        <is>
          <t>Isi actual berbeda dari budget.</t>
        </is>
      </c>
      <c r="E52" s="4" t="inlineStr">
        <is>
          <t>Variance terhitung untuk rekonsiliasi.</t>
        </is>
      </c>
      <c r="F52" s="2" t="inlineStr">
        <is>
          <t>Medium</t>
        </is>
      </c>
      <c r="G52" s="2" t="inlineStr">
        <is>
          <t>Not Run</t>
        </is>
      </c>
      <c r="H52" s="3" t="inlineStr"/>
      <c r="I52" s="2" t="inlineStr"/>
      <c r="J52" s="4" t="inlineStr"/>
    </row>
    <row r="53">
      <c r="A53" s="5" t="inlineStr">
        <is>
          <t>RE-01</t>
        </is>
      </c>
      <c r="B53" s="6" t="inlineStr">
        <is>
          <t>Rent Escalation</t>
        </is>
      </c>
      <c r="C53" s="7" t="inlineStr">
        <is>
          <t>Eskalasi %</t>
        </is>
      </c>
      <c r="D53" s="7" t="inlineStr">
        <is>
          <t>Sewa 10jt, 10%/tahun, due hari ini. Jalankan cron.</t>
        </is>
      </c>
      <c r="E53" s="7" t="inlineStr">
        <is>
          <t>Sewa naik ke 11jt; log mencatat 10jt→11jt.</t>
        </is>
      </c>
      <c r="F53" s="5" t="inlineStr">
        <is>
          <t>High</t>
        </is>
      </c>
      <c r="G53" s="5" t="inlineStr">
        <is>
          <t>Not Run</t>
        </is>
      </c>
      <c r="H53" s="6" t="inlineStr"/>
      <c r="I53" s="5" t="inlineStr"/>
      <c r="J53" s="7" t="inlineStr"/>
    </row>
    <row r="54">
      <c r="A54" s="2" t="inlineStr">
        <is>
          <t>RE-02</t>
        </is>
      </c>
      <c r="B54" s="3" t="inlineStr">
        <is>
          <t>Rent Escalation</t>
        </is>
      </c>
      <c r="C54" s="4" t="inlineStr">
        <is>
          <t>Eskalasi amount</t>
        </is>
      </c>
      <c r="D54" s="4" t="inlineStr">
        <is>
          <t>Escalation +500rb. Jalankan cron.</t>
        </is>
      </c>
      <c r="E54" s="4" t="inlineStr">
        <is>
          <t>Sewa naik 500rb; log tercatat.</t>
        </is>
      </c>
      <c r="F54" s="2" t="inlineStr">
        <is>
          <t>Medium</t>
        </is>
      </c>
      <c r="G54" s="2" t="inlineStr">
        <is>
          <t>Not Run</t>
        </is>
      </c>
      <c r="H54" s="3" t="inlineStr"/>
      <c r="I54" s="2" t="inlineStr"/>
      <c r="J54" s="4" t="inlineStr"/>
    </row>
    <row r="55">
      <c r="A55" s="5" t="inlineStr">
        <is>
          <t>RE-03</t>
        </is>
      </c>
      <c r="B55" s="6" t="inlineStr">
        <is>
          <t>Rent Escalation</t>
        </is>
      </c>
      <c r="C55" s="7" t="inlineStr">
        <is>
          <t>Belum jatuh tempo</t>
        </is>
      </c>
      <c r="D55" s="7" t="inlineStr">
        <is>
          <t>Tanggal due di masa depan. Jalankan cron.</t>
        </is>
      </c>
      <c r="E55" s="7" t="inlineStr">
        <is>
          <t>Tidak ada perubahan sewa.</t>
        </is>
      </c>
      <c r="F55" s="5" t="inlineStr">
        <is>
          <t>Low</t>
        </is>
      </c>
      <c r="G55" s="5" t="inlineStr">
        <is>
          <t>Not Run</t>
        </is>
      </c>
      <c r="H55" s="6" t="inlineStr"/>
      <c r="I55" s="5" t="inlineStr"/>
      <c r="J55" s="7" t="inlineStr"/>
    </row>
    <row r="56">
      <c r="A56" s="2" t="inlineStr">
        <is>
          <t>DB-01</t>
        </is>
      </c>
      <c r="B56" s="3" t="inlineStr">
        <is>
          <t>KPI Dashboard</t>
        </is>
      </c>
      <c r="C56" s="4" t="inlineStr">
        <is>
          <t>Hitung KPI</t>
        </is>
      </c>
      <c r="D56" s="4" t="inlineStr">
        <is>
          <t>Dengan kontrak &amp; invoice ada, buka Dashboard.</t>
        </is>
      </c>
      <c r="E56" s="4" t="inlineStr">
        <is>
          <t>NOI=income−expense; arrears=invoice overdue; collection rate konsisten.</t>
        </is>
      </c>
      <c r="F56" s="2" t="inlineStr">
        <is>
          <t>High</t>
        </is>
      </c>
      <c r="G56" s="2" t="inlineStr">
        <is>
          <t>Not Run</t>
        </is>
      </c>
      <c r="H56" s="3" t="inlineStr"/>
      <c r="I56" s="2" t="inlineStr"/>
      <c r="J56" s="4" t="inlineStr"/>
    </row>
    <row r="57">
      <c r="A57" s="5" t="inlineStr">
        <is>
          <t>DB-02</t>
        </is>
      </c>
      <c r="B57" s="6" t="inlineStr">
        <is>
          <t>KPI Dashboard</t>
        </is>
      </c>
      <c r="C57" s="7" t="inlineStr">
        <is>
          <t>Lease expiring</t>
        </is>
      </c>
      <c r="D57" s="7" t="inlineStr">
        <is>
          <t>Ada kontrak berakhir dalam 12 bulan.</t>
        </is>
      </c>
      <c r="E57" s="7" t="inlineStr">
        <is>
          <t>Counter leases-expiring menampilkan jumlah benar.</t>
        </is>
      </c>
      <c r="F57" s="5" t="inlineStr">
        <is>
          <t>Medium</t>
        </is>
      </c>
      <c r="G57" s="5" t="inlineStr">
        <is>
          <t>Not Run</t>
        </is>
      </c>
      <c r="H57" s="6" t="inlineStr"/>
      <c r="I57" s="5" t="inlineStr"/>
      <c r="J57" s="7" t="inlineStr"/>
    </row>
    <row r="58">
      <c r="A58" s="2" t="inlineStr">
        <is>
          <t>DN-01</t>
        </is>
      </c>
      <c r="B58" s="3" t="inlineStr">
        <is>
          <t>Dunning</t>
        </is>
      </c>
      <c r="C58" s="4" t="inlineStr">
        <is>
          <t>Naik level</t>
        </is>
      </c>
      <c r="D58" s="4" t="inlineStr">
        <is>
          <t>Invoice overdue melewati ambang level 1. Jalankan cron.</t>
        </is>
      </c>
      <c r="E58" s="4" t="inlineStr">
        <is>
          <t>Dunning level=1; email reminder terkirim.</t>
        </is>
      </c>
      <c r="F58" s="2" t="inlineStr">
        <is>
          <t>High</t>
        </is>
      </c>
      <c r="G58" s="2" t="inlineStr">
        <is>
          <t>Not Run</t>
        </is>
      </c>
      <c r="H58" s="3" t="inlineStr"/>
      <c r="I58" s="2" t="inlineStr"/>
      <c r="J58" s="4" t="inlineStr"/>
    </row>
    <row r="59">
      <c r="A59" s="5" t="inlineStr">
        <is>
          <t>DN-02</t>
        </is>
      </c>
      <c r="B59" s="6" t="inlineStr">
        <is>
          <t>Dunning</t>
        </is>
      </c>
      <c r="C59" s="7" t="inlineStr">
        <is>
          <t>Late fee</t>
        </is>
      </c>
      <c r="D59" s="7" t="inlineStr">
        <is>
          <t>Aktifkan late fee pada level. Jalankan cron.</t>
        </is>
      </c>
      <c r="E59" s="7" t="inlineStr">
        <is>
          <t>Denda ditambahkan sesuai konfigurasi.</t>
        </is>
      </c>
      <c r="F59" s="5" t="inlineStr">
        <is>
          <t>Medium</t>
        </is>
      </c>
      <c r="G59" s="5" t="inlineStr">
        <is>
          <t>Not Run</t>
        </is>
      </c>
      <c r="H59" s="6" t="inlineStr"/>
      <c r="I59" s="5" t="inlineStr"/>
      <c r="J59" s="7" t="inlineStr"/>
    </row>
    <row r="60">
      <c r="A60" s="2" t="inlineStr">
        <is>
          <t>DN-03</t>
        </is>
      </c>
      <c r="B60" s="3" t="inlineStr">
        <is>
          <t>Dunning</t>
        </is>
      </c>
      <c r="C60" s="4" t="inlineStr">
        <is>
          <t>Lunas berhenti</t>
        </is>
      </c>
      <c r="D60" s="4" t="inlineStr">
        <is>
          <t>Bayar invoice. Jalankan cron.</t>
        </is>
      </c>
      <c r="E60" s="4" t="inlineStr">
        <is>
          <t>Tidak ada reminder lanjutan.</t>
        </is>
      </c>
      <c r="F60" s="2" t="inlineStr">
        <is>
          <t>Medium</t>
        </is>
      </c>
      <c r="G60" s="2" t="inlineStr">
        <is>
          <t>Not Run</t>
        </is>
      </c>
      <c r="H60" s="3" t="inlineStr"/>
      <c r="I60" s="2" t="inlineStr"/>
      <c r="J60" s="4" t="inlineStr"/>
    </row>
    <row r="61">
      <c r="A61" s="5" t="inlineStr">
        <is>
          <t>IN-01</t>
        </is>
      </c>
      <c r="B61" s="6" t="inlineStr">
        <is>
          <t>Insurance</t>
        </is>
      </c>
      <c r="C61" s="7" t="inlineStr">
        <is>
          <t>Buat polis</t>
        </is>
      </c>
      <c r="D61" s="7" t="inlineStr">
        <is>
          <t>Buat polis expiry 30 hari ke depan.</t>
        </is>
      </c>
      <c r="E61" s="7" t="inlineStr">
        <is>
          <t>Polis tersimpan; days-to-expiry terhitung.</t>
        </is>
      </c>
      <c r="F61" s="5" t="inlineStr">
        <is>
          <t>Medium</t>
        </is>
      </c>
      <c r="G61" s="5" t="inlineStr">
        <is>
          <t>Not Run</t>
        </is>
      </c>
      <c r="H61" s="6" t="inlineStr"/>
      <c r="I61" s="5" t="inlineStr"/>
      <c r="J61" s="7" t="inlineStr"/>
    </row>
    <row r="62">
      <c r="A62" s="2" t="inlineStr">
        <is>
          <t>IN-02</t>
        </is>
      </c>
      <c r="B62" s="3" t="inlineStr">
        <is>
          <t>Insurance</t>
        </is>
      </c>
      <c r="C62" s="4" t="inlineStr">
        <is>
          <t>Reminder</t>
        </is>
      </c>
      <c r="D62" s="4" t="inlineStr">
        <is>
          <t>Expiry dalam lead window. Jalankan cron.</t>
        </is>
      </c>
      <c r="E62" s="4" t="inlineStr">
        <is>
          <t>Activity reminder terjadwal pada penanggung jawab.</t>
        </is>
      </c>
      <c r="F62" s="2" t="inlineStr">
        <is>
          <t>Medium</t>
        </is>
      </c>
      <c r="G62" s="2" t="inlineStr">
        <is>
          <t>Not Run</t>
        </is>
      </c>
      <c r="H62" s="3" t="inlineStr"/>
      <c r="I62" s="2" t="inlineStr"/>
      <c r="J62" s="4" t="inlineStr"/>
    </row>
    <row r="63">
      <c r="A63" s="5" t="inlineStr">
        <is>
          <t>LE-01</t>
        </is>
      </c>
      <c r="B63" s="6" t="inlineStr">
        <is>
          <t>Lease Expiry</t>
        </is>
      </c>
      <c r="C63" s="7" t="inlineStr">
        <is>
          <t>Filter 30 hari</t>
        </is>
      </c>
      <c r="D63" s="7" t="inlineStr">
        <is>
          <t>Kontrak berakhir dalam 20 hari.</t>
        </is>
      </c>
      <c r="E63" s="7" t="inlineStr">
        <is>
          <t>Muncul pada filter 30 hari.</t>
        </is>
      </c>
      <c r="F63" s="5" t="inlineStr">
        <is>
          <t>High</t>
        </is>
      </c>
      <c r="G63" s="5" t="inlineStr">
        <is>
          <t>Not Run</t>
        </is>
      </c>
      <c r="H63" s="6" t="inlineStr"/>
      <c r="I63" s="5" t="inlineStr"/>
      <c r="J63" s="7" t="inlineStr"/>
    </row>
    <row r="64">
      <c r="A64" s="2" t="inlineStr">
        <is>
          <t>LE-02</t>
        </is>
      </c>
      <c r="B64" s="3" t="inlineStr">
        <is>
          <t>Lease Expiry</t>
        </is>
      </c>
      <c r="C64" s="4" t="inlineStr">
        <is>
          <t>Reminder renewal</t>
        </is>
      </c>
      <c r="D64" s="4" t="inlineStr">
        <is>
          <t>Jalankan cron.</t>
        </is>
      </c>
      <c r="E64" s="4" t="inlineStr">
        <is>
          <t>Activity reminder renewal terjadwal.</t>
        </is>
      </c>
      <c r="F64" s="2" t="inlineStr">
        <is>
          <t>Medium</t>
        </is>
      </c>
      <c r="G64" s="2" t="inlineStr">
        <is>
          <t>Not Run</t>
        </is>
      </c>
      <c r="H64" s="3" t="inlineStr"/>
      <c r="I64" s="2" t="inlineStr"/>
      <c r="J64" s="4" t="inlineStr"/>
    </row>
    <row r="65">
      <c r="A65" s="5" t="inlineStr">
        <is>
          <t>VC-01</t>
        </is>
      </c>
      <c r="B65" s="6" t="inlineStr">
        <is>
          <t>Vacancy</t>
        </is>
      </c>
      <c r="C65" s="7" t="inlineStr">
        <is>
          <t>Kelompok status</t>
        </is>
      </c>
      <c r="D65" s="7" t="inlineStr">
        <is>
          <t>Beberapa properti status berbeda.</t>
        </is>
      </c>
      <c r="E65" s="7" t="inlineStr">
        <is>
          <t>Board mengelompokkan benar sesuai stage.</t>
        </is>
      </c>
      <c r="F65" s="5" t="inlineStr">
        <is>
          <t>Medium</t>
        </is>
      </c>
      <c r="G65" s="5" t="inlineStr">
        <is>
          <t>Not Run</t>
        </is>
      </c>
      <c r="H65" s="6" t="inlineStr"/>
      <c r="I65" s="5" t="inlineStr"/>
      <c r="J65" s="7" t="inlineStr"/>
    </row>
    <row r="66">
      <c r="A66" s="2" t="inlineStr">
        <is>
          <t>VC-02</t>
        </is>
      </c>
      <c r="B66" s="3" t="inlineStr">
        <is>
          <t>Vacancy</t>
        </is>
      </c>
      <c r="C66" s="4" t="inlineStr">
        <is>
          <t>Filter available</t>
        </is>
      </c>
      <c r="D66" s="4" t="inlineStr">
        <is>
          <t>Pilih filter Available.</t>
        </is>
      </c>
      <c r="E66" s="4" t="inlineStr">
        <is>
          <t>Hanya properti available tampil.</t>
        </is>
      </c>
      <c r="F66" s="2" t="inlineStr">
        <is>
          <t>Low</t>
        </is>
      </c>
      <c r="G66" s="2" t="inlineStr">
        <is>
          <t>Not Run</t>
        </is>
      </c>
      <c r="H66" s="3" t="inlineStr"/>
      <c r="I66" s="2" t="inlineStr"/>
      <c r="J66" s="4" t="inlineStr"/>
    </row>
    <row r="67">
      <c r="A67" s="5" t="inlineStr">
        <is>
          <t>PP-01</t>
        </is>
      </c>
      <c r="B67" s="6" t="inlineStr">
        <is>
          <t>PPM</t>
        </is>
      </c>
      <c r="C67" s="7" t="inlineStr">
        <is>
          <t>Generate request</t>
        </is>
      </c>
      <c r="D67" s="7" t="inlineStr">
        <is>
          <t>PPM plan due hari ini. Jalankan cron.</t>
        </is>
      </c>
      <c r="E67" s="7" t="inlineStr">
        <is>
          <t>maintenance.request baru terbuat sesuai plan.</t>
        </is>
      </c>
      <c r="F67" s="5" t="inlineStr">
        <is>
          <t>High</t>
        </is>
      </c>
      <c r="G67" s="5" t="inlineStr">
        <is>
          <t>Not Run</t>
        </is>
      </c>
      <c r="H67" s="6" t="inlineStr"/>
      <c r="I67" s="5" t="inlineStr"/>
      <c r="J67" s="7" t="inlineStr"/>
    </row>
    <row r="68">
      <c r="A68" s="2" t="inlineStr">
        <is>
          <t>PP-02</t>
        </is>
      </c>
      <c r="B68" s="3" t="inlineStr">
        <is>
          <t>PPM</t>
        </is>
      </c>
      <c r="C68" s="4" t="inlineStr">
        <is>
          <t>Interval berikut</t>
        </is>
      </c>
      <c r="D68" s="4" t="inlineStr">
        <is>
          <t>Setelah generate, cek next date.</t>
        </is>
      </c>
      <c r="E68" s="4" t="inlineStr">
        <is>
          <t>Tanggal jadwal berikut bergeser sesuai interval.</t>
        </is>
      </c>
      <c r="F68" s="2" t="inlineStr">
        <is>
          <t>Medium</t>
        </is>
      </c>
      <c r="G68" s="2" t="inlineStr">
        <is>
          <t>Not Run</t>
        </is>
      </c>
      <c r="H68" s="3" t="inlineStr"/>
      <c r="I68" s="2" t="inlineStr"/>
      <c r="J68" s="4" t="inlineStr"/>
    </row>
    <row r="69">
      <c r="A69" s="5" t="inlineStr">
        <is>
          <t>PK-01</t>
        </is>
      </c>
      <c r="B69" s="6" t="inlineStr">
        <is>
          <t>Parking</t>
        </is>
      </c>
      <c r="C69" s="7" t="inlineStr">
        <is>
          <t>Alokasi bay</t>
        </is>
      </c>
      <c r="D69" s="7" t="inlineStr">
        <is>
          <t>Tetapkan bay ke tenant.</t>
        </is>
      </c>
      <c r="E69" s="7" t="inlineStr">
        <is>
          <t>Bay berstatus allocated; terkait tenant/kontrak.</t>
        </is>
      </c>
      <c r="F69" s="5" t="inlineStr">
        <is>
          <t>Medium</t>
        </is>
      </c>
      <c r="G69" s="5" t="inlineStr">
        <is>
          <t>Not Run</t>
        </is>
      </c>
      <c r="H69" s="6" t="inlineStr"/>
      <c r="I69" s="5" t="inlineStr"/>
      <c r="J69" s="7" t="inlineStr"/>
    </row>
    <row r="70">
      <c r="A70" s="2" t="inlineStr">
        <is>
          <t>PK-02</t>
        </is>
      </c>
      <c r="B70" s="3" t="inlineStr">
        <is>
          <t>Parking</t>
        </is>
      </c>
      <c r="C70" s="4" t="inlineStr">
        <is>
          <t>Invoice parkir</t>
        </is>
      </c>
      <c r="D70" s="4" t="inlineStr">
        <is>
          <t>Buat invoice parkir.</t>
        </is>
      </c>
      <c r="E70" s="4" t="inlineStr">
        <is>
          <t>out_invoice ber-link properti; muncul di Owners Statement.</t>
        </is>
      </c>
      <c r="F70" s="2" t="inlineStr">
        <is>
          <t>Medium</t>
        </is>
      </c>
      <c r="G70" s="2" t="inlineStr">
        <is>
          <t>Not Run</t>
        </is>
      </c>
      <c r="H70" s="3" t="inlineStr"/>
      <c r="I70" s="2" t="inlineStr"/>
      <c r="J70" s="4" t="inlineStr"/>
    </row>
    <row r="71">
      <c r="A71" s="5" t="inlineStr">
        <is>
          <t>VL-01</t>
        </is>
      </c>
      <c r="B71" s="6" t="inlineStr">
        <is>
          <t>Valuation</t>
        </is>
      </c>
      <c r="C71" s="7" t="inlineStr">
        <is>
          <t>Catat valuasi</t>
        </is>
      </c>
      <c r="D71" s="7" t="inlineStr">
        <is>
          <t>Buat 2 valuasi tanggal berbeda.</t>
        </is>
      </c>
      <c r="E71" s="7" t="inlineStr">
        <is>
          <t>Latest value = valuasi tanggal terbaru.</t>
        </is>
      </c>
      <c r="F71" s="5" t="inlineStr">
        <is>
          <t>Low</t>
        </is>
      </c>
      <c r="G71" s="5" t="inlineStr">
        <is>
          <t>Not Run</t>
        </is>
      </c>
      <c r="H71" s="6" t="inlineStr"/>
      <c r="I71" s="5" t="inlineStr"/>
      <c r="J71" s="7" t="inlineStr"/>
    </row>
    <row r="72">
      <c r="A72" s="2" t="inlineStr">
        <is>
          <t>AC-01</t>
        </is>
      </c>
      <c r="B72" s="3" t="inlineStr">
        <is>
          <t>Access</t>
        </is>
      </c>
      <c r="C72" s="4" t="inlineStr">
        <is>
          <t>Terbitkan kartu</t>
        </is>
      </c>
      <c r="D72" s="4" t="inlineStr">
        <is>
          <t>Buat kartu akses untuk tenant.</t>
        </is>
      </c>
      <c r="E72" s="4" t="inlineStr">
        <is>
          <t>Kartu tercatat &amp; terkait tenant.</t>
        </is>
      </c>
      <c r="F72" s="2" t="inlineStr">
        <is>
          <t>Low</t>
        </is>
      </c>
      <c r="G72" s="2" t="inlineStr">
        <is>
          <t>Not Run</t>
        </is>
      </c>
      <c r="H72" s="3" t="inlineStr"/>
      <c r="I72" s="2" t="inlineStr"/>
      <c r="J72" s="4" t="inlineStr"/>
    </row>
    <row r="73">
      <c r="A73" s="5" t="inlineStr">
        <is>
          <t>AC-02</t>
        </is>
      </c>
      <c r="B73" s="6" t="inlineStr">
        <is>
          <t>Access</t>
        </is>
      </c>
      <c r="C73" s="7" t="inlineStr">
        <is>
          <t>Log tamu</t>
        </is>
      </c>
      <c r="D73" s="7" t="inlineStr">
        <is>
          <t>Catat check-in lalu check-out tamu.</t>
        </is>
      </c>
      <c r="E73" s="7" t="inlineStr">
        <is>
          <t>Waktu check-in/out tersimpan.</t>
        </is>
      </c>
      <c r="F73" s="5" t="inlineStr">
        <is>
          <t>Low</t>
        </is>
      </c>
      <c r="G73" s="5" t="inlineStr">
        <is>
          <t>Not Run</t>
        </is>
      </c>
      <c r="H73" s="6" t="inlineStr"/>
      <c r="I73" s="5" t="inlineStr"/>
      <c r="J73" s="7" t="inlineStr"/>
    </row>
    <row r="74">
      <c r="A74" s="2" t="inlineStr">
        <is>
          <t>ES-01</t>
        </is>
      </c>
      <c r="B74" s="3" t="inlineStr">
        <is>
          <t>E-Signature</t>
        </is>
      </c>
      <c r="C74" s="4" t="inlineStr">
        <is>
          <t>Kirim permintaan</t>
        </is>
      </c>
      <c r="D74" s="4" t="inlineStr">
        <is>
          <t>Klik Request Signature pada kontrak.</t>
        </is>
      </c>
      <c r="E74" s="4" t="inlineStr">
        <is>
          <t>Status=Sent; sequence terbuat; email/log tercatat.</t>
        </is>
      </c>
      <c r="F74" s="2" t="inlineStr">
        <is>
          <t>Medium</t>
        </is>
      </c>
      <c r="G74" s="2" t="inlineStr">
        <is>
          <t>Not Run</t>
        </is>
      </c>
      <c r="H74" s="3" t="inlineStr"/>
      <c r="I74" s="2" t="inlineStr"/>
      <c r="J74" s="4" t="inlineStr"/>
    </row>
    <row r="75">
      <c r="A75" s="5" t="inlineStr">
        <is>
          <t>ES-02</t>
        </is>
      </c>
      <c r="B75" s="6" t="inlineStr">
        <is>
          <t>E-Signature</t>
        </is>
      </c>
      <c r="C75" s="7" t="inlineStr">
        <is>
          <t>Tandai signed</t>
        </is>
      </c>
      <c r="D75" s="7" t="inlineStr">
        <is>
          <t>Klik Mark Signed.</t>
        </is>
      </c>
      <c r="E75" s="7" t="inlineStr">
        <is>
          <t>Status=Signed; tanggal tanda tangan tersimpan.</t>
        </is>
      </c>
      <c r="F75" s="5" t="inlineStr">
        <is>
          <t>Low</t>
        </is>
      </c>
      <c r="G75" s="5" t="inlineStr">
        <is>
          <t>Not Run</t>
        </is>
      </c>
      <c r="H75" s="6" t="inlineStr"/>
      <c r="I75" s="5" t="inlineStr"/>
      <c r="J75" s="7" t="inlineStr"/>
    </row>
    <row r="76">
      <c r="A76" s="2" t="inlineStr">
        <is>
          <t>E2E-1</t>
        </is>
      </c>
      <c r="B76" s="3" t="inlineStr">
        <is>
          <t>End-to-End</t>
        </is>
      </c>
      <c r="C76" s="4" t="inlineStr">
        <is>
          <t>Onboarding tenant</t>
        </is>
      </c>
      <c r="D76" s="4" t="inlineStr">
        <is>
          <t>Lead → Create Lease Contract → aktifkan → Handover Move-in → Guarantee.</t>
        </is>
      </c>
      <c r="E76" s="4" t="inlineStr">
        <is>
          <t>Kontrak aktif; handover selesai; jaminan Active; tenant bisa login portal.</t>
        </is>
      </c>
      <c r="F76" s="2" t="inlineStr">
        <is>
          <t>High</t>
        </is>
      </c>
      <c r="G76" s="2" t="inlineStr">
        <is>
          <t>Not Run</t>
        </is>
      </c>
      <c r="H76" s="3" t="inlineStr"/>
      <c r="I76" s="2" t="inlineStr"/>
      <c r="J76" s="4" t="inlineStr"/>
    </row>
    <row r="77">
      <c r="A77" s="5" t="inlineStr">
        <is>
          <t>E2E-2</t>
        </is>
      </c>
      <c r="B77" s="6" t="inlineStr">
        <is>
          <t>End-to-End</t>
        </is>
      </c>
      <c r="C77" s="7" t="inlineStr">
        <is>
          <t>Billing bulanan</t>
        </is>
      </c>
      <c r="D77" s="7" t="inlineStr">
        <is>
          <t>Invoice sewa + Meter recharge + GTO turnover diposting.</t>
        </is>
      </c>
      <c r="E77" s="7" t="inlineStr">
        <is>
          <t>Semua pendapatan ber-link properti &amp; analytic; muncul di Owners Statement.</t>
        </is>
      </c>
      <c r="F77" s="5" t="inlineStr">
        <is>
          <t>High</t>
        </is>
      </c>
      <c r="G77" s="5" t="inlineStr">
        <is>
          <t>Not Run</t>
        </is>
      </c>
      <c r="H77" s="6" t="inlineStr"/>
      <c r="I77" s="5" t="inlineStr"/>
      <c r="J77" s="7" t="inlineStr"/>
    </row>
    <row r="78">
      <c r="A78" s="2" t="inlineStr">
        <is>
          <t>E2E-3</t>
        </is>
      </c>
      <c r="B78" s="3" t="inlineStr">
        <is>
          <t>End-to-End</t>
        </is>
      </c>
      <c r="C78" s="4" t="inlineStr">
        <is>
          <t>Pengeluaran</t>
        </is>
      </c>
      <c r="D78" s="4" t="inlineStr">
        <is>
          <t>Maintenance → Create PO → terima → vendor bill posted.</t>
        </is>
      </c>
      <c r="E78" s="4" t="inlineStr">
        <is>
          <t>Beban masuk Payment Details &amp; analytic properti.</t>
        </is>
      </c>
      <c r="F78" s="2" t="inlineStr">
        <is>
          <t>High</t>
        </is>
      </c>
      <c r="G78" s="2" t="inlineStr">
        <is>
          <t>Not Run</t>
        </is>
      </c>
      <c r="H78" s="3" t="inlineStr"/>
      <c r="I78" s="2" t="inlineStr"/>
      <c r="J78" s="4" t="inlineStr"/>
    </row>
    <row r="79">
      <c r="A79" s="5" t="inlineStr">
        <is>
          <t>E2E-4</t>
        </is>
      </c>
      <c r="B79" s="6" t="inlineStr">
        <is>
          <t>End-to-End</t>
        </is>
      </c>
      <c r="C79" s="7" t="inlineStr">
        <is>
          <t>Tutup periode</t>
        </is>
      </c>
      <c r="D79" s="7" t="inlineStr">
        <is>
          <t>Cetak Owners Statement; Owner Remittance; ekspor CORETAX Faktur PK.</t>
        </is>
      </c>
      <c r="E79" s="7" t="inlineStr">
        <is>
          <t>Laporan konsisten; remittance terposting; XML e-Faktur terunduh.</t>
        </is>
      </c>
      <c r="F79" s="5" t="inlineStr">
        <is>
          <t>High</t>
        </is>
      </c>
      <c r="G79" s="5" t="inlineStr">
        <is>
          <t>Not Run</t>
        </is>
      </c>
      <c r="H79" s="6" t="inlineStr"/>
      <c r="I79" s="5" t="inlineStr"/>
      <c r="J79" s="7" t="inlineStr"/>
    </row>
    <row r="80">
      <c r="A80" s="2" t="inlineStr">
        <is>
          <t>E2E-5</t>
        </is>
      </c>
      <c r="B80" s="3" t="inlineStr">
        <is>
          <t>End-to-End</t>
        </is>
      </c>
      <c r="C80" s="4" t="inlineStr">
        <is>
          <t>Move-out</t>
        </is>
      </c>
      <c r="D80" s="4" t="inlineStr">
        <is>
          <t>Handover Move-out + make-good; Security Deposit refund; kontrak ditutup.</t>
        </is>
      </c>
      <c r="E80" s="4" t="inlineStr">
        <is>
          <t>Deposit terselesaikan; Sec Dep Bal nol; kontrak closed.</t>
        </is>
      </c>
      <c r="F80" s="2" t="inlineStr">
        <is>
          <t>Medium</t>
        </is>
      </c>
      <c r="G80" s="2" t="inlineStr">
        <is>
          <t>Not Run</t>
        </is>
      </c>
      <c r="H80" s="3" t="inlineStr"/>
      <c r="I80" s="2" t="inlineStr"/>
      <c r="J80" s="4" t="inlineStr"/>
    </row>
    <row r="81">
      <c r="A81" t="inlineStr">
        <is>
          <t>TC-50</t>
        </is>
      </c>
      <c r="B81" t="inlineStr">
        <is>
          <t>rental_management_financial_report</t>
        </is>
      </c>
      <c r="C81" t="inlineStr">
        <is>
          <t>Digital BAST &amp; Checklist 10 Item</t>
        </is>
      </c>
      <c r="D81" t="inlineStr">
        <is>
          <t>Buka BAST baru, muat checklist 10 item, catat stand meter listrik/air, sahkan dan cetak PDF</t>
        </is>
      </c>
      <c r="E81" t="inlineStr">
        <is>
          <t>Dokumen BAST PDF terbit rapi dengan tabel checklist dan kolom tanda tangan</t>
        </is>
      </c>
      <c r="F81" t="inlineStr">
        <is>
          <t>Pass</t>
        </is>
      </c>
      <c r="G81" t="inlineStr">
        <is>
          <t>Tim Operasional</t>
        </is>
      </c>
    </row>
    <row r="82">
      <c r="A82" t="inlineStr">
        <is>
          <t>TC-51</t>
        </is>
      </c>
      <c r="B82" t="inlineStr">
        <is>
          <t>rental_management_financial_report</t>
        </is>
      </c>
      <c r="C82" t="inlineStr">
        <is>
          <t>Multi-Type Deposit &amp; Fit-Out Inspection</t>
        </is>
      </c>
      <c r="D82" t="inlineStr">
        <is>
          <t>Input deposit fit-out, centang inspeksi akhir lolos, verifikasi tanggal selesai</t>
        </is>
      </c>
      <c r="E82" t="inlineStr">
        <is>
          <t>Data tersimpan dengan tipe deposit terpisah dari security sewa</t>
        </is>
      </c>
      <c r="F82" t="inlineStr">
        <is>
          <t>Pass</t>
        </is>
      </c>
      <c r="G82" t="inlineStr">
        <is>
          <t>Finance &amp; BM</t>
        </is>
      </c>
    </row>
    <row r="83">
      <c r="A83" t="inlineStr">
        <is>
          <t>TC-52</t>
        </is>
      </c>
      <c r="B83" t="inlineStr">
        <is>
          <t>rental_management_financial_report</t>
        </is>
      </c>
      <c r="C83" t="inlineStr">
        <is>
          <t>SLA 30 Hari Refund Deposit &amp; Auto Jurnal</t>
        </is>
      </c>
      <c r="D83" t="inlineStr">
        <is>
          <t>Sahkan BAST Move-out, klik Post Deductions/Refunds</t>
        </is>
      </c>
      <c r="E83" t="inlineStr">
        <is>
          <t>SLA 30 hari aktif, journal entry Dr Deposit Liab / Cr Bank otomatis terbentuk</t>
        </is>
      </c>
      <c r="F83" t="inlineStr">
        <is>
          <t>Pass</t>
        </is>
      </c>
      <c r="G83" t="inlineStr">
        <is>
          <t>Finance</t>
        </is>
      </c>
    </row>
    <row r="84">
      <c r="A84" t="inlineStr">
        <is>
          <t>TC-53</t>
        </is>
      </c>
      <c r="B84" t="inlineStr">
        <is>
          <t>rental_management_financial_report</t>
        </is>
      </c>
      <c r="C84" t="inlineStr">
        <is>
          <t>Tenant Clearance Certificate PDF</t>
        </is>
      </c>
      <c r="D84" t="inlineStr">
        <is>
          <t>Buka tenancy.details saat kontrak selesai, klik Cetak Clearance Certificate</t>
        </is>
      </c>
      <c r="E84" t="inlineStr">
        <is>
          <t>Dokumen PDF 4 verifikasi departemen terbit siap ditandatangani</t>
        </is>
      </c>
      <c r="F84" t="inlineStr">
        <is>
          <t>Pass</t>
        </is>
      </c>
      <c r="G84" t="inlineStr">
        <is>
          <t>BM / Finance</t>
        </is>
      </c>
    </row>
    <row r="85">
      <c r="A85" t="inlineStr">
        <is>
          <t>TC-54</t>
        </is>
      </c>
      <c r="B85" t="inlineStr">
        <is>
          <t>rental_management_financial_report</t>
        </is>
      </c>
      <c r="C85" t="inlineStr">
        <is>
          <t>Laporan Pemilik Konsolidasi 16 PT &amp; Email</t>
        </is>
      </c>
      <c r="D85" t="inlineStr">
        <is>
          <t>Buka wizard laporan pemilik, pilih mode Konsolidasi (16 PT), klik Kirim Email</t>
        </is>
      </c>
      <c r="E85" t="inlineStr">
        <is>
          <t>PDF 9-section konsolidasi terkirim otomatis ke seluruh pemilik</t>
        </is>
      </c>
      <c r="F85" t="inlineStr">
        <is>
          <t>Pass</t>
        </is>
      </c>
      <c r="G85" t="inlineStr">
        <is>
          <t>Direksi / Owner</t>
        </is>
      </c>
    </row>
    <row r="86">
      <c r="A86" t="inlineStr">
        <is>
          <t>TC-55</t>
        </is>
      </c>
      <c r="B86" t="inlineStr">
        <is>
          <t>rental_management_coretax</t>
        </is>
      </c>
      <c r="C86" t="inlineStr">
        <is>
          <t>Pelacakan PPh Final 4(2) 10% &amp; e-Bupot</t>
        </is>
      </c>
      <c r="D86" t="inlineStr">
        <is>
          <t>Buat invoice sewa, verifikasi estimasi potongan 10%, input nomor e-Bupot &amp; PDF</t>
        </is>
      </c>
      <c r="E86" t="inlineStr">
        <is>
          <t>Estimasi 10% otomatis terhitung dan lampiran e-Bupot tercatat</t>
        </is>
      </c>
      <c r="F86" t="inlineStr">
        <is>
          <t>Pass</t>
        </is>
      </c>
      <c r="G86" t="inlineStr">
        <is>
          <t>Tax / Accounting</t>
        </is>
      </c>
    </row>
    <row r="87">
      <c r="A87" t="inlineStr">
        <is>
          <t>TC-56</t>
        </is>
      </c>
      <c r="B87" t="inlineStr">
        <is>
          <t>rental_management_coretax</t>
        </is>
      </c>
      <c r="C87" t="inlineStr">
        <is>
          <t>Batch Update Nomor Seri e-Faktur CORETAX</t>
        </is>
      </c>
      <c r="D87" t="inlineStr">
        <is>
          <t>Pilih batch invoice sewa, masukkan nomor awal faktur, klik terapkan</t>
        </is>
      </c>
      <c r="E87" t="inlineStr">
        <is>
          <t>Nomor seri faktur terisi berurutan pada seluruh invoice</t>
        </is>
      </c>
      <c r="F87" t="inlineStr">
        <is>
          <t>Pass</t>
        </is>
      </c>
      <c r="G87" t="inlineStr">
        <is>
          <t>Tax Dept</t>
        </is>
      </c>
    </row>
    <row r="88">
      <c r="A88" t="inlineStr">
        <is>
          <t>TC-57</t>
        </is>
      </c>
      <c r="B88" t="inlineStr">
        <is>
          <t>rental_management_dunning</t>
        </is>
      </c>
      <c r="C88" t="inlineStr">
        <is>
          <t>WhatsApp Click-to-Chat Penagihan</t>
        </is>
      </c>
      <c r="D88" t="inlineStr">
        <is>
          <t>Klik tombol Kirim WhatsApp pada invoice overdue</t>
        </is>
      </c>
      <c r="E88" t="inlineStr">
        <is>
          <t>Tautan wa.me terbuka dengan nomor +62 dan format pesan resmi lengkap</t>
        </is>
      </c>
      <c r="F88" t="inlineStr">
        <is>
          <t>Pass</t>
        </is>
      </c>
      <c r="G88" t="inlineStr">
        <is>
          <t>AR / Collection</t>
        </is>
      </c>
    </row>
    <row r="89">
      <c r="A89" t="inlineStr">
        <is>
          <t>TC-58</t>
        </is>
      </c>
      <c r="B89" t="inlineStr">
        <is>
          <t>rental_management_dunning</t>
        </is>
      </c>
      <c r="C89" t="inlineStr">
        <is>
          <t>Cetak Surat Peringatan (SP1-SP3) PDF</t>
        </is>
      </c>
      <c r="D89" t="inlineStr">
        <is>
          <t>Klik Cetak Surat Peringatan (SP) pada invoice level dunning</t>
        </is>
      </c>
      <c r="E89" t="inlineStr">
        <is>
          <t>Surat somasi resmi berkop terbit dengan klausul batas waktu pelunasan</t>
        </is>
      </c>
      <c r="F89" t="inlineStr">
        <is>
          <t>Pass</t>
        </is>
      </c>
      <c r="G89" t="inlineStr">
        <is>
          <t>Legal / Collection</t>
        </is>
      </c>
    </row>
    <row r="90">
      <c r="A90" t="inlineStr">
        <is>
          <t>TC-59</t>
        </is>
      </c>
      <c r="B90" t="inlineStr">
        <is>
          <t>rental_management_dunning</t>
        </is>
      </c>
      <c r="C90" t="inlineStr">
        <is>
          <t>Penyegelan Unit &amp; Banner Merah</t>
        </is>
      </c>
      <c r="D90" t="inlineStr">
        <is>
          <t>Klik Segel Unit pada kontrak sewa bermasalah</t>
        </is>
      </c>
      <c r="E90" t="inlineStr">
        <is>
          <t>Status is_sealed aktif dan banner merah peringatan muncul di form kontrak</t>
        </is>
      </c>
      <c r="F90" t="inlineStr">
        <is>
          <t>Pass</t>
        </is>
      </c>
      <c r="G90" t="inlineStr">
        <is>
          <t>Building Manager</t>
        </is>
      </c>
    </row>
    <row r="91">
      <c r="A91" t="inlineStr">
        <is>
          <t>TC-60</t>
        </is>
      </c>
      <c r="B91" t="inlineStr">
        <is>
          <t>rental_management_portal</t>
        </is>
      </c>
      <c r="C91" t="inlineStr">
        <is>
          <t>Upload Bukti Transfer Bank di Portal</t>
        </is>
      </c>
      <c r="D91" t="inlineStr">
        <is>
          <t>Tenant buka /my/invoices/&lt;id&gt;, unggah bukti transfer slip bank</t>
        </is>
      </c>
      <c r="E91" t="inlineStr">
        <is>
          <t>File terlampir, status bukti bayar terupdate, aktivitas notifikasi masuk ke Chatter Finance</t>
        </is>
      </c>
      <c r="F91" t="inlineStr">
        <is>
          <t>Pass</t>
        </is>
      </c>
      <c r="G91" t="inlineStr">
        <is>
          <t>Tenant &amp; Finance</t>
        </is>
      </c>
    </row>
    <row r="92">
      <c r="A92" t="inlineStr">
        <is>
          <t>TC-61</t>
        </is>
      </c>
      <c r="B92" t="inlineStr">
        <is>
          <t>rental_management_gto_meter</t>
        </is>
      </c>
      <c r="C92" t="inlineStr">
        <is>
          <t>Bulk Meter Reading Wizard</t>
        </is>
      </c>
      <c r="D92" t="inlineStr">
        <is>
          <t>Buka wizard catat meter massal, input stand meter akhir, klik buat invoice</t>
        </is>
      </c>
      <c r="E92" t="inlineStr">
        <is>
          <t>Seluruh tagihan listrik &amp; air unit terbit dalam status draft sekali klik</t>
        </is>
      </c>
      <c r="F92" t="inlineStr">
        <is>
          <t>Pass</t>
        </is>
      </c>
      <c r="G92" t="inlineStr">
        <is>
          <t>Engineering / MEP</t>
        </is>
      </c>
    </row>
    <row r="93">
      <c r="A93" t="inlineStr">
        <is>
          <t>TC-62</t>
        </is>
      </c>
      <c r="B93" t="inlineStr">
        <is>
          <t>rental_management_gto_meter</t>
        </is>
      </c>
      <c r="C93" t="inlineStr">
        <is>
          <t>Cetak Deklarasi Omzet (GTO) PDF</t>
        </is>
      </c>
      <c r="D93" t="inlineStr">
        <is>
          <t>Input omzet bulanan tenant F&amp;B, klik Cetak Pernyataan Omzet</t>
        </is>
      </c>
      <c r="E93" t="inlineStr">
        <is>
          <t>Formulir pernyataan omzet kotor bagi hasil terbit rapi dalam PDF</t>
        </is>
      </c>
      <c r="F93" t="inlineStr">
        <is>
          <t>Pass</t>
        </is>
      </c>
      <c r="G93" t="inlineStr">
        <is>
          <t>Tenant Relations</t>
        </is>
      </c>
    </row>
    <row r="94">
      <c r="A94" t="inlineStr">
        <is>
          <t>TC-63</t>
        </is>
      </c>
      <c r="B94" t="inlineStr">
        <is>
          <t>rental_management_dashboard</t>
        </is>
      </c>
      <c r="C94" t="inlineStr">
        <is>
          <t>Dashboard Metrik WALE &amp; RevPAM</t>
        </is>
      </c>
      <c r="D94" t="inlineStr">
        <is>
          <t>Buka KPI Dashboard, periksa indikator WALE dan RevPAM</t>
        </is>
      </c>
      <c r="E94" t="inlineStr">
        <is>
          <t>WALE (Tahun/Bulan) dan RevPAM (Pendapatan/m²) terhitung dinamis</t>
        </is>
      </c>
      <c r="F94" t="inlineStr">
        <is>
          <t>Pass</t>
        </is>
      </c>
      <c r="G94" t="inlineStr">
        <is>
          <t>Direksi / GM</t>
        </is>
      </c>
    </row>
    <row r="95">
      <c r="A95" t="inlineStr">
        <is>
          <t>TC-64</t>
        </is>
      </c>
      <c r="B95" t="inlineStr">
        <is>
          <t>rental_management_document_ce</t>
        </is>
      </c>
      <c r="C95" t="inlineStr">
        <is>
          <t>Perizinan Gedung (SHM, IMB, SLF, Damkar)</t>
        </is>
      </c>
      <c r="D95" t="inlineStr">
        <is>
          <t>Input izin IMB &amp; SLF, tentukan tanggal kedaluwarsa dokumen</t>
        </is>
      </c>
      <c r="E95" t="inlineStr">
        <is>
          <t>Tersimpan 100% Community dengan notifikasi pengingat sebelum masa berlaku habis</t>
        </is>
      </c>
      <c r="F95" t="inlineStr">
        <is>
          <t>Pass</t>
        </is>
      </c>
      <c r="G95" t="inlineStr">
        <is>
          <t>Legal / BM</t>
        </is>
      </c>
    </row>
    <row r="96">
      <c r="A96" t="inlineStr">
        <is>
          <t>TC-65</t>
        </is>
      </c>
      <c r="B96" t="inlineStr">
        <is>
          <t>rental_management_financial_report</t>
        </is>
      </c>
      <c r="C96" t="inlineStr">
        <is>
          <t>Ekspor Excel (.xlsx) Laporan Pemilik</t>
        </is>
      </c>
      <c r="D96" t="inlineStr">
        <is>
          <t>Buka wizard laporan pemilik, klik Ekspor Excel (.xlsx)</t>
        </is>
      </c>
      <c r="E96" t="inlineStr">
        <is>
          <t>File spreadsheet multi-tab (Summary, I&amp;E, Receipts, Balances, TB) terunduh</t>
        </is>
      </c>
      <c r="F96" t="inlineStr">
        <is>
          <t>Pass</t>
        </is>
      </c>
      <c r="G96" t="inlineStr">
        <is>
          <t>Finance / Owner</t>
        </is>
      </c>
    </row>
    <row r="97">
      <c r="A97" t="inlineStr">
        <is>
          <t>TC-66</t>
        </is>
      </c>
      <c r="B97" t="inlineStr">
        <is>
          <t>rental_management_financial_report</t>
        </is>
      </c>
      <c r="C97" t="inlineStr">
        <is>
          <t>Generator Nomor Virtual Account &amp; QRIS</t>
        </is>
      </c>
      <c r="D97" t="inlineStr">
        <is>
          <t>Pilih bank VA pada kontrak, buka invoice tagihan sewa</t>
        </is>
      </c>
      <c r="E97" t="inlineStr">
        <is>
          <t>Nomor VA (prefix+digits) dan blok QRIS tertera di form invoice &amp; portal</t>
        </is>
      </c>
      <c r="F97" t="inlineStr">
        <is>
          <t>Pass</t>
        </is>
      </c>
      <c r="G97" t="inlineStr">
        <is>
          <t>Tenant / Cashier</t>
        </is>
      </c>
    </row>
    <row r="98">
      <c r="A98" t="inlineStr">
        <is>
          <t>TC-67</t>
        </is>
      </c>
      <c r="B98" t="inlineStr">
        <is>
          <t>rental_management_financial_report</t>
        </is>
      </c>
      <c r="C98" t="inlineStr">
        <is>
          <t>Surat Izin Kerja (SIK) Renovasi / SIK PDF</t>
        </is>
      </c>
      <c r="D98" t="inlineStr">
        <is>
          <t>Buat SIK baru, pilih kontraktor &amp; jam kerja malam/hot work, setujui &amp; cetak PDF</t>
        </is>
      </c>
      <c r="E98" t="inlineStr">
        <is>
          <t>Dokumen SIK PDF bertandatangan 3 pihak terbit rapi</t>
        </is>
      </c>
      <c r="F98" t="inlineStr">
        <is>
          <t>Pass</t>
        </is>
      </c>
      <c r="G98" t="inlineStr">
        <is>
          <t>BM / Engineering</t>
        </is>
      </c>
    </row>
    <row r="99">
      <c r="A99" t="inlineStr">
        <is>
          <t>TC-68</t>
        </is>
      </c>
      <c r="B99" t="inlineStr">
        <is>
          <t>rental_management_gto_meter</t>
        </is>
      </c>
      <c r="C99" t="inlineStr">
        <is>
          <t>Tarif Beban Puncak Listrik PLN (WBP/LWBP)</t>
        </is>
      </c>
      <c r="D99" t="inlineStr">
        <is>
          <t>Centang tarif ganda pada meteran listrik, input stand WBP &amp; LWBP</t>
        </is>
      </c>
      <c r="E99" t="inlineStr">
        <is>
          <t>Konsumsi &amp; biaya WBP + LWBP terhitung akurat pada invoice</t>
        </is>
      </c>
      <c r="F99" t="inlineStr">
        <is>
          <t>Pass</t>
        </is>
      </c>
      <c r="G99" t="inlineStr">
        <is>
          <t>Engineering / MEP</t>
        </is>
      </c>
    </row>
    <row r="100">
      <c r="A100" t="inlineStr">
        <is>
          <t>TC-69</t>
        </is>
      </c>
      <c r="B100" t="inlineStr">
        <is>
          <t>rental_management_portal</t>
        </is>
      </c>
      <c r="C100" t="inlineStr">
        <is>
          <t>Rating Kepuasan CSAT pada Portal Maintenance</t>
        </is>
      </c>
      <c r="D100" t="inlineStr">
        <is>
          <t>Buka tiket maintenance selesai di portal /my/maintenance/&lt;id&gt;, beri rating &amp; ulasan</t>
        </is>
      </c>
      <c r="E100" t="inlineStr">
        <is>
          <t>Rating bintang &amp; feedback tersimpan dan tercatat di Chatter backend</t>
        </is>
      </c>
      <c r="F100" t="inlineStr">
        <is>
          <t>Pass</t>
        </is>
      </c>
      <c r="G100" t="inlineStr">
        <is>
          <t>Tenant / CS</t>
        </is>
      </c>
    </row>
  </sheetData>
  <autoFilter ref="A1:J1"/>
  <conditionalFormatting sqref="G2:G8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80" showDropDown="0" showInputMessage="0" showErrorMessage="0" allowBlank="1" type="list">
      <formula1>"Not Run,Pass,Fail,Blocked,N/A"</formula1>
    </dataValidation>
    <dataValidation sqref="F2:F8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Cases'!A2:A80)</f>
        <v/>
      </c>
    </row>
    <row r="4">
      <c r="A4" s="9" t="inlineStr">
        <is>
          <t>Pass</t>
        </is>
      </c>
      <c r="B4" s="10">
        <f>COUNTIF('Test Cases'!G2:G80,"Pass")</f>
        <v/>
      </c>
    </row>
    <row r="5">
      <c r="A5" s="9" t="inlineStr">
        <is>
          <t>Fail</t>
        </is>
      </c>
      <c r="B5" s="10">
        <f>COUNTIF('Test Cases'!G2:G80,"Fail")</f>
        <v/>
      </c>
    </row>
    <row r="6">
      <c r="A6" s="9" t="inlineStr">
        <is>
          <t>Blocked</t>
        </is>
      </c>
      <c r="B6" s="10">
        <f>COUNTIF('Test Cases'!G2:G80,"Blocked")</f>
        <v/>
      </c>
    </row>
    <row r="7">
      <c r="A7" s="9" t="inlineStr">
        <is>
          <t>N/A</t>
        </is>
      </c>
      <c r="B7" s="10">
        <f>COUNTIF('Test Cases'!G2:G80,"N/A")</f>
        <v/>
      </c>
    </row>
    <row r="8">
      <c r="A8" s="9" t="inlineStr">
        <is>
          <t>Not Run</t>
        </is>
      </c>
      <c r="B8" s="10">
        <f>COUNTIF('Test Cases'!G2:G80,"Not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Cases'!B2:B80,A13)</f>
        <v/>
      </c>
      <c r="C13" s="10">
        <f>COUNTIFS('Test Cases'!B2:B80,A13,'Test Cases'!G2:G80,"Pass")</f>
        <v/>
      </c>
      <c r="D13" s="10">
        <f>COUNTIFS('Test Cases'!B2:B80,A13,'Test Cases'!G2:G80,"Fail")</f>
        <v/>
      </c>
      <c r="E13" s="10">
        <f>COUNTIFS('Test Cases'!B2:B80,A13,'Test Cases'!G2:G80,"Not Run")</f>
        <v/>
      </c>
    </row>
    <row r="14">
      <c r="A14" s="14" t="inlineStr">
        <is>
          <t>GTO &amp; Meter</t>
        </is>
      </c>
      <c r="B14" s="10">
        <f>COUNTIF('Test Cases'!B2:B80,A14)</f>
        <v/>
      </c>
      <c r="C14" s="10">
        <f>COUNTIFS('Test Cases'!B2:B80,A14,'Test Cases'!G2:G80,"Pass")</f>
        <v/>
      </c>
      <c r="D14" s="10">
        <f>COUNTIFS('Test Cases'!B2:B80,A14,'Test Cases'!G2:G80,"Fail")</f>
        <v/>
      </c>
      <c r="E14" s="10">
        <f>COUNTIFS('Test Cases'!B2:B80,A14,'Test Cases'!G2:G80,"Not Run")</f>
        <v/>
      </c>
    </row>
    <row r="15">
      <c r="A15" s="14" t="inlineStr">
        <is>
          <t>Guarantee</t>
        </is>
      </c>
      <c r="B15" s="10">
        <f>COUNTIF('Test Cases'!B2:B80,A15)</f>
        <v/>
      </c>
      <c r="C15" s="10">
        <f>COUNTIFS('Test Cases'!B2:B80,A15,'Test Cases'!G2:G80,"Pass")</f>
        <v/>
      </c>
      <c r="D15" s="10">
        <f>COUNTIFS('Test Cases'!B2:B80,A15,'Test Cases'!G2:G80,"Fail")</f>
        <v/>
      </c>
      <c r="E15" s="10">
        <f>COUNTIFS('Test Cases'!B2:B80,A15,'Test Cases'!G2:G80,"Not Run")</f>
        <v/>
      </c>
    </row>
    <row r="16">
      <c r="A16" s="14" t="inlineStr">
        <is>
          <t>Casual Leasing</t>
        </is>
      </c>
      <c r="B16" s="10">
        <f>COUNTIF('Test Cases'!B2:B80,A16)</f>
        <v/>
      </c>
      <c r="C16" s="10">
        <f>COUNTIFS('Test Cases'!B2:B80,A16,'Test Cases'!G2:G80,"Pass")</f>
        <v/>
      </c>
      <c r="D16" s="10">
        <f>COUNTIFS('Test Cases'!B2:B80,A16,'Test Cases'!G2:G80,"Fail")</f>
        <v/>
      </c>
      <c r="E16" s="10">
        <f>COUNTIFS('Test Cases'!B2:B80,A16,'Test Cases'!G2:G80,"Not Run")</f>
        <v/>
      </c>
    </row>
    <row r="17">
      <c r="A17" s="14" t="inlineStr">
        <is>
          <t>Handover</t>
        </is>
      </c>
      <c r="B17" s="10">
        <f>COUNTIF('Test Cases'!B2:B80,A17)</f>
        <v/>
      </c>
      <c r="C17" s="10">
        <f>COUNTIFS('Test Cases'!B2:B80,A17,'Test Cases'!G2:G80,"Pass")</f>
        <v/>
      </c>
      <c r="D17" s="10">
        <f>COUNTIFS('Test Cases'!B2:B80,A17,'Test Cases'!G2:G80,"Fail")</f>
        <v/>
      </c>
      <c r="E17" s="10">
        <f>COUNTIFS('Test Cases'!B2:B80,A17,'Test Cases'!G2:G80,"Not Run")</f>
        <v/>
      </c>
    </row>
    <row r="18">
      <c r="A18" s="14" t="inlineStr">
        <is>
          <t>Tenant Portal</t>
        </is>
      </c>
      <c r="B18" s="10">
        <f>COUNTIF('Test Cases'!B2:B80,A18)</f>
        <v/>
      </c>
      <c r="C18" s="10">
        <f>COUNTIFS('Test Cases'!B2:B80,A18,'Test Cases'!G2:G80,"Pass")</f>
        <v/>
      </c>
      <c r="D18" s="10">
        <f>COUNTIFS('Test Cases'!B2:B80,A18,'Test Cases'!G2:G80,"Fail")</f>
        <v/>
      </c>
      <c r="E18" s="10">
        <f>COUNTIFS('Test Cases'!B2:B80,A18,'Test Cases'!G2:G80,"Not Run")</f>
        <v/>
      </c>
    </row>
    <row r="19">
      <c r="A19" s="14" t="inlineStr">
        <is>
          <t>CORETAX</t>
        </is>
      </c>
      <c r="B19" s="10">
        <f>COUNTIF('Test Cases'!B2:B80,A19)</f>
        <v/>
      </c>
      <c r="C19" s="10">
        <f>COUNTIFS('Test Cases'!B2:B80,A19,'Test Cases'!G2:G80,"Pass")</f>
        <v/>
      </c>
      <c r="D19" s="10">
        <f>COUNTIFS('Test Cases'!B2:B80,A19,'Test Cases'!G2:G80,"Fail")</f>
        <v/>
      </c>
      <c r="E19" s="10">
        <f>COUNTIFS('Test Cases'!B2:B80,A19,'Test Cases'!G2:G80,"Not Run")</f>
        <v/>
      </c>
    </row>
    <row r="20">
      <c r="A20" s="14" t="inlineStr">
        <is>
          <t>Purchase</t>
        </is>
      </c>
      <c r="B20" s="10">
        <f>COUNTIF('Test Cases'!B2:B80,A20)</f>
        <v/>
      </c>
      <c r="C20" s="10">
        <f>COUNTIFS('Test Cases'!B2:B80,A20,'Test Cases'!G2:G80,"Pass")</f>
        <v/>
      </c>
      <c r="D20" s="10">
        <f>COUNTIFS('Test Cases'!B2:B80,A20,'Test Cases'!G2:G80,"Fail")</f>
        <v/>
      </c>
      <c r="E20" s="10">
        <f>COUNTIFS('Test Cases'!B2:B80,A20,'Test Cases'!G2:G80,"Not Run")</f>
        <v/>
      </c>
    </row>
    <row r="21">
      <c r="A21" s="14" t="inlineStr">
        <is>
          <t>CRM</t>
        </is>
      </c>
      <c r="B21" s="10">
        <f>COUNTIF('Test Cases'!B2:B80,A21)</f>
        <v/>
      </c>
      <c r="C21" s="10">
        <f>COUNTIFS('Test Cases'!B2:B80,A21,'Test Cases'!G2:G80,"Pass")</f>
        <v/>
      </c>
      <c r="D21" s="10">
        <f>COUNTIFS('Test Cases'!B2:B80,A21,'Test Cases'!G2:G80,"Fail")</f>
        <v/>
      </c>
      <c r="E21" s="10">
        <f>COUNTIFS('Test Cases'!B2:B80,A21,'Test Cases'!G2:G80,"Not Run")</f>
        <v/>
      </c>
    </row>
    <row r="22">
      <c r="A22" s="14" t="inlineStr">
        <is>
          <t>Project (Fit-out)</t>
        </is>
      </c>
      <c r="B22" s="10">
        <f>COUNTIF('Test Cases'!B2:B80,A22)</f>
        <v/>
      </c>
      <c r="C22" s="10">
        <f>COUNTIFS('Test Cases'!B2:B80,A22,'Test Cases'!G2:G80,"Pass")</f>
        <v/>
      </c>
      <c r="D22" s="10">
        <f>COUNTIFS('Test Cases'!B2:B80,A22,'Test Cases'!G2:G80,"Fail")</f>
        <v/>
      </c>
      <c r="E22" s="10">
        <f>COUNTIFS('Test Cases'!B2:B80,A22,'Test Cases'!G2:G80,"Not Run")</f>
        <v/>
      </c>
    </row>
    <row r="23">
      <c r="A23" s="14" t="inlineStr">
        <is>
          <t>Documents</t>
        </is>
      </c>
      <c r="B23" s="10">
        <f>COUNTIF('Test Cases'!B2:B80,A23)</f>
        <v/>
      </c>
      <c r="C23" s="10">
        <f>COUNTIFS('Test Cases'!B2:B80,A23,'Test Cases'!G2:G80,"Pass")</f>
        <v/>
      </c>
      <c r="D23" s="10">
        <f>COUNTIFS('Test Cases'!B2:B80,A23,'Test Cases'!G2:G80,"Fail")</f>
        <v/>
      </c>
      <c r="E23" s="10">
        <f>COUNTIFS('Test Cases'!B2:B80,A23,'Test Cases'!G2:G80,"Not Run")</f>
        <v/>
      </c>
    </row>
    <row r="24">
      <c r="A24" s="14" t="inlineStr">
        <is>
          <t>Fixed Assets</t>
        </is>
      </c>
      <c r="B24" s="10">
        <f>COUNTIF('Test Cases'!B2:B80,A24)</f>
        <v/>
      </c>
      <c r="C24" s="10">
        <f>COUNTIFS('Test Cases'!B2:B80,A24,'Test Cases'!G2:G80,"Pass")</f>
        <v/>
      </c>
      <c r="D24" s="10">
        <f>COUNTIFS('Test Cases'!B2:B80,A24,'Test Cases'!G2:G80,"Fail")</f>
        <v/>
      </c>
      <c r="E24" s="10">
        <f>COUNTIFS('Test Cases'!B2:B80,A24,'Test Cases'!G2:G80,"Not Run")</f>
        <v/>
      </c>
    </row>
    <row r="25">
      <c r="A25" s="14" t="inlineStr">
        <is>
          <t>Documents CE</t>
        </is>
      </c>
      <c r="B25" s="10">
        <f>COUNTIF('Test Cases'!B2:B80,A25)</f>
        <v/>
      </c>
      <c r="C25" s="10">
        <f>COUNTIFS('Test Cases'!B2:B80,A25,'Test Cases'!G2:G80,"Pass")</f>
        <v/>
      </c>
      <c r="D25" s="10">
        <f>COUNTIFS('Test Cases'!B2:B80,A25,'Test Cases'!G2:G80,"Fail")</f>
        <v/>
      </c>
      <c r="E25" s="10">
        <f>COUNTIFS('Test Cases'!B2:B80,A25,'Test Cases'!G2:G80,"Not Run")</f>
        <v/>
      </c>
    </row>
    <row r="26">
      <c r="A26" s="14" t="inlineStr">
        <is>
          <t>Owner Portal</t>
        </is>
      </c>
      <c r="B26" s="10">
        <f>COUNTIF('Test Cases'!B2:B80,A26)</f>
        <v/>
      </c>
      <c r="C26" s="10">
        <f>COUNTIFS('Test Cases'!B2:B80,A26,'Test Cases'!G2:G80,"Pass")</f>
        <v/>
      </c>
      <c r="D26" s="10">
        <f>COUNTIFS('Test Cases'!B2:B80,A26,'Test Cases'!G2:G80,"Fail")</f>
        <v/>
      </c>
      <c r="E26" s="10">
        <f>COUNTIFS('Test Cases'!B2:B80,A26,'Test Cases'!G2:G80,"Not Run")</f>
        <v/>
      </c>
    </row>
    <row r="27">
      <c r="A27" s="14" t="inlineStr">
        <is>
          <t>CAM / Service Charge</t>
        </is>
      </c>
      <c r="B27" s="10">
        <f>COUNTIF('Test Cases'!B2:B80,A27)</f>
        <v/>
      </c>
      <c r="C27" s="10">
        <f>COUNTIFS('Test Cases'!B2:B80,A27,'Test Cases'!G2:G80,"Pass")</f>
        <v/>
      </c>
      <c r="D27" s="10">
        <f>COUNTIFS('Test Cases'!B2:B80,A27,'Test Cases'!G2:G80,"Fail")</f>
        <v/>
      </c>
      <c r="E27" s="10">
        <f>COUNTIFS('Test Cases'!B2:B80,A27,'Test Cases'!G2:G80,"Not Run")</f>
        <v/>
      </c>
    </row>
    <row r="28">
      <c r="A28" s="14" t="inlineStr">
        <is>
          <t>Rent Escalation</t>
        </is>
      </c>
      <c r="B28" s="10">
        <f>COUNTIF('Test Cases'!B2:B80,A28)</f>
        <v/>
      </c>
      <c r="C28" s="10">
        <f>COUNTIFS('Test Cases'!B2:B80,A28,'Test Cases'!G2:G80,"Pass")</f>
        <v/>
      </c>
      <c r="D28" s="10">
        <f>COUNTIFS('Test Cases'!B2:B80,A28,'Test Cases'!G2:G80,"Fail")</f>
        <v/>
      </c>
      <c r="E28" s="10">
        <f>COUNTIFS('Test Cases'!B2:B80,A28,'Test Cases'!G2:G80,"Not Run")</f>
        <v/>
      </c>
    </row>
    <row r="29">
      <c r="A29" s="14" t="inlineStr">
        <is>
          <t>KPI Dashboard</t>
        </is>
      </c>
      <c r="B29" s="10">
        <f>COUNTIF('Test Cases'!B2:B80,A29)</f>
        <v/>
      </c>
      <c r="C29" s="10">
        <f>COUNTIFS('Test Cases'!B2:B80,A29,'Test Cases'!G2:G80,"Pass")</f>
        <v/>
      </c>
      <c r="D29" s="10">
        <f>COUNTIFS('Test Cases'!B2:B80,A29,'Test Cases'!G2:G80,"Fail")</f>
        <v/>
      </c>
      <c r="E29" s="10">
        <f>COUNTIFS('Test Cases'!B2:B80,A29,'Test Cases'!G2:G80,"Not Run")</f>
        <v/>
      </c>
    </row>
    <row r="30">
      <c r="A30" s="14" t="inlineStr">
        <is>
          <t>Dunning</t>
        </is>
      </c>
      <c r="B30" s="10">
        <f>COUNTIF('Test Cases'!B2:B80,A30)</f>
        <v/>
      </c>
      <c r="C30" s="10">
        <f>COUNTIFS('Test Cases'!B2:B80,A30,'Test Cases'!G2:G80,"Pass")</f>
        <v/>
      </c>
      <c r="D30" s="10">
        <f>COUNTIFS('Test Cases'!B2:B80,A30,'Test Cases'!G2:G80,"Fail")</f>
        <v/>
      </c>
      <c r="E30" s="10">
        <f>COUNTIFS('Test Cases'!B2:B80,A30,'Test Cases'!G2:G80,"Not Run")</f>
        <v/>
      </c>
    </row>
    <row r="31">
      <c r="A31" s="14" t="inlineStr">
        <is>
          <t>Insurance</t>
        </is>
      </c>
      <c r="B31" s="10">
        <f>COUNTIF('Test Cases'!B2:B80,A31)</f>
        <v/>
      </c>
      <c r="C31" s="10">
        <f>COUNTIFS('Test Cases'!B2:B80,A31,'Test Cases'!G2:G80,"Pass")</f>
        <v/>
      </c>
      <c r="D31" s="10">
        <f>COUNTIFS('Test Cases'!B2:B80,A31,'Test Cases'!G2:G80,"Fail")</f>
        <v/>
      </c>
      <c r="E31" s="10">
        <f>COUNTIFS('Test Cases'!B2:B80,A31,'Test Cases'!G2:G80,"Not Run")</f>
        <v/>
      </c>
    </row>
    <row r="32">
      <c r="A32" s="14" t="inlineStr">
        <is>
          <t>Lease Expiry</t>
        </is>
      </c>
      <c r="B32" s="10">
        <f>COUNTIF('Test Cases'!B2:B80,A32)</f>
        <v/>
      </c>
      <c r="C32" s="10">
        <f>COUNTIFS('Test Cases'!B2:B80,A32,'Test Cases'!G2:G80,"Pass")</f>
        <v/>
      </c>
      <c r="D32" s="10">
        <f>COUNTIFS('Test Cases'!B2:B80,A32,'Test Cases'!G2:G80,"Fail")</f>
        <v/>
      </c>
      <c r="E32" s="10">
        <f>COUNTIFS('Test Cases'!B2:B80,A32,'Test Cases'!G2:G80,"Not Run")</f>
        <v/>
      </c>
    </row>
    <row r="33">
      <c r="A33" s="14" t="inlineStr">
        <is>
          <t>Vacancy</t>
        </is>
      </c>
      <c r="B33" s="10">
        <f>COUNTIF('Test Cases'!B2:B80,A33)</f>
        <v/>
      </c>
      <c r="C33" s="10">
        <f>COUNTIFS('Test Cases'!B2:B80,A33,'Test Cases'!G2:G80,"Pass")</f>
        <v/>
      </c>
      <c r="D33" s="10">
        <f>COUNTIFS('Test Cases'!B2:B80,A33,'Test Cases'!G2:G80,"Fail")</f>
        <v/>
      </c>
      <c r="E33" s="10">
        <f>COUNTIFS('Test Cases'!B2:B80,A33,'Test Cases'!G2:G80,"Not Run")</f>
        <v/>
      </c>
    </row>
    <row r="34">
      <c r="A34" s="14" t="inlineStr">
        <is>
          <t>PPM</t>
        </is>
      </c>
      <c r="B34" s="10">
        <f>COUNTIF('Test Cases'!B2:B80,A34)</f>
        <v/>
      </c>
      <c r="C34" s="10">
        <f>COUNTIFS('Test Cases'!B2:B80,A34,'Test Cases'!G2:G80,"Pass")</f>
        <v/>
      </c>
      <c r="D34" s="10">
        <f>COUNTIFS('Test Cases'!B2:B80,A34,'Test Cases'!G2:G80,"Fail")</f>
        <v/>
      </c>
      <c r="E34" s="10">
        <f>COUNTIFS('Test Cases'!B2:B80,A34,'Test Cases'!G2:G80,"Not Run")</f>
        <v/>
      </c>
    </row>
    <row r="35">
      <c r="A35" s="14" t="inlineStr">
        <is>
          <t>Parking</t>
        </is>
      </c>
      <c r="B35" s="10">
        <f>COUNTIF('Test Cases'!B2:B80,A35)</f>
        <v/>
      </c>
      <c r="C35" s="10">
        <f>COUNTIFS('Test Cases'!B2:B80,A35,'Test Cases'!G2:G80,"Pass")</f>
        <v/>
      </c>
      <c r="D35" s="10">
        <f>COUNTIFS('Test Cases'!B2:B80,A35,'Test Cases'!G2:G80,"Fail")</f>
        <v/>
      </c>
      <c r="E35" s="10">
        <f>COUNTIFS('Test Cases'!B2:B80,A35,'Test Cases'!G2:G80,"Not Run")</f>
        <v/>
      </c>
    </row>
    <row r="36">
      <c r="A36" s="14" t="inlineStr">
        <is>
          <t>Valuation</t>
        </is>
      </c>
      <c r="B36" s="10">
        <f>COUNTIF('Test Cases'!B2:B80,A36)</f>
        <v/>
      </c>
      <c r="C36" s="10">
        <f>COUNTIFS('Test Cases'!B2:B80,A36,'Test Cases'!G2:G80,"Pass")</f>
        <v/>
      </c>
      <c r="D36" s="10">
        <f>COUNTIFS('Test Cases'!B2:B80,A36,'Test Cases'!G2:G80,"Fail")</f>
        <v/>
      </c>
      <c r="E36" s="10">
        <f>COUNTIFS('Test Cases'!B2:B80,A36,'Test Cases'!G2:G80,"Not Run")</f>
        <v/>
      </c>
    </row>
    <row r="37">
      <c r="A37" s="14" t="inlineStr">
        <is>
          <t>Access</t>
        </is>
      </c>
      <c r="B37" s="10">
        <f>COUNTIF('Test Cases'!B2:B80,A37)</f>
        <v/>
      </c>
      <c r="C37" s="10">
        <f>COUNTIFS('Test Cases'!B2:B80,A37,'Test Cases'!G2:G80,"Pass")</f>
        <v/>
      </c>
      <c r="D37" s="10">
        <f>COUNTIFS('Test Cases'!B2:B80,A37,'Test Cases'!G2:G80,"Fail")</f>
        <v/>
      </c>
      <c r="E37" s="10">
        <f>COUNTIFS('Test Cases'!B2:B80,A37,'Test Cases'!G2:G80,"Not Run")</f>
        <v/>
      </c>
    </row>
    <row r="38">
      <c r="A38" s="14" t="inlineStr">
        <is>
          <t>E-Signature</t>
        </is>
      </c>
      <c r="B38" s="10">
        <f>COUNTIF('Test Cases'!B2:B80,A38)</f>
        <v/>
      </c>
      <c r="C38" s="10">
        <f>COUNTIFS('Test Cases'!B2:B80,A38,'Test Cases'!G2:G80,"Pass")</f>
        <v/>
      </c>
      <c r="D38" s="10">
        <f>COUNTIFS('Test Cases'!B2:B80,A38,'Test Cases'!G2:G80,"Fail")</f>
        <v/>
      </c>
      <c r="E38" s="10">
        <f>COUNTIFS('Test Cases'!B2:B80,A38,'Test Cases'!G2:G80,"Not Run")</f>
        <v/>
      </c>
    </row>
    <row r="39">
      <c r="A39" s="14" t="inlineStr">
        <is>
          <t>End-to-End</t>
        </is>
      </c>
      <c r="B39" s="10">
        <f>COUNTIF('Test Cases'!B2:B80,A39)</f>
        <v/>
      </c>
      <c r="C39" s="10">
        <f>COUNTIFS('Test Cases'!B2:B80,A39,'Test Cases'!G2:G80,"Pass")</f>
        <v/>
      </c>
      <c r="D39" s="10">
        <f>COUNTIFS('Test Cases'!B2:B80,A39,'Test Cases'!G2:G80,"Fail")</f>
        <v/>
      </c>
      <c r="E39" s="10">
        <f>COUNTIFS('Test Cases'!B2:B80,A39,'Test Cases'!G2:G80,"Not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2026-06-20T00:55:47Z</dcterms:created>
  <dcterms:modified xmlns:dcterms="http://purl.org/dc/terms/" xmlns:xsi="http://www.w3.org/2001/XMLSchema-instance" xsi:type="dcterms:W3CDTF">2026-08-26T07:01:39Z</dcterms:modified>
</cp:coreProperties>
</file>